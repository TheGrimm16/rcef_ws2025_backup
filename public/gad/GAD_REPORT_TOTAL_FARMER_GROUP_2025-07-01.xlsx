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ARMER_GROUP_PER_VARIETY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<sst xmlns="http://schemas.openxmlformats.org/spreadsheetml/2006/main" uniqueCount="159">
  <si>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RCEF-SMS GAD DATASET</t>
  </si>
  <si>
    <t>DATASET</t>
  </si>
  <si>
    <t>AGE GROUP (M)</t>
  </si>
  <si>
    <t>AGE GROUP (F)</t>
  </si>
  <si>
    <t>AREA (M)</t>
  </si>
  <si>
    <t>AREA (F)</t>
  </si>
  <si>
    <t>BAGS (M)</t>
  </si>
  <si>
    <t>BAGS (F)</t>
  </si>
  <si>
    <t>REGION</t>
  </si>
  <si>
    <t>PROVINCE</t>
  </si>
  <si>
    <t>SEED VARIETY</t>
  </si>
  <si>
    <t>&lt;29</t>
  </si>
  <si>
    <t>30-59</t>
  </si>
  <si>
    <t>&gt;=60</t>
  </si>
  <si>
    <t>ILOCOS</t>
  </si>
  <si>
    <t>ILOCOS NORTE</t>
  </si>
  <si>
    <t>NSIC 2016 Rc 480</t>
  </si>
  <si>
    <t>NSIC Rc 160</t>
  </si>
  <si>
    <t>NSIC Rc 216</t>
  </si>
  <si>
    <t>TOTAL MALE:</t>
  </si>
  <si>
    <t>NSIC Rc 222</t>
  </si>
  <si>
    <t>TOTAL FEMALE:</t>
  </si>
  <si>
    <t>NSIC RC 508</t>
  </si>
  <si>
    <t>NSIC RC 512</t>
  </si>
  <si>
    <t>TOTAL BAGS (M)</t>
  </si>
  <si>
    <t>TOTAL BAGS (F)</t>
  </si>
  <si>
    <t>TOTAL</t>
  </si>
  <si>
    <t>Seed Varieties</t>
  </si>
  <si>
    <t>ILOCOS SUR</t>
  </si>
  <si>
    <t>NSIC Rc 218</t>
  </si>
  <si>
    <t>NSIC 2015 Rc 402</t>
  </si>
  <si>
    <t>LA UNION</t>
  </si>
  <si>
    <t>NSIC RC 506</t>
  </si>
  <si>
    <t>NSIC RC 514</t>
  </si>
  <si>
    <t>NSIC Rc 534</t>
  </si>
  <si>
    <t>PSB Rc 18</t>
  </si>
  <si>
    <t>NSIC Rc 436</t>
  </si>
  <si>
    <t>NSIC Rc 442</t>
  </si>
  <si>
    <t>PSB Rc 10</t>
  </si>
  <si>
    <t>NSIC RC 628</t>
  </si>
  <si>
    <t>NSIC Rc 634</t>
  </si>
  <si>
    <t>PANGASINAN</t>
  </si>
  <si>
    <t>NSIC 2014 Rc 27</t>
  </si>
  <si>
    <t>NSIC 2016 Rc 440</t>
  </si>
  <si>
    <t>NSIC Rc 438</t>
  </si>
  <si>
    <t>NSIC Rc 632</t>
  </si>
  <si>
    <t>NSIC 2013 Rc 336</t>
  </si>
  <si>
    <t>NSIC RC 472</t>
  </si>
  <si>
    <t>NSIC Rc 624</t>
  </si>
  <si>
    <t>PSB Rc 82</t>
  </si>
  <si>
    <t>CAGAYAN VALLEY</t>
  </si>
  <si>
    <t>CAGAYAN</t>
  </si>
  <si>
    <t>EQUIVALENT PERCENTAGE (%) PER VARIETY &amp; AGE GROUP</t>
  </si>
  <si>
    <t>MALE</t>
  </si>
  <si>
    <t>19 - 29 y/o - 14,157</t>
  </si>
  <si>
    <t>30 - 59 y/o - 214,970</t>
  </si>
  <si>
    <t>60 - above - 124,648</t>
  </si>
  <si>
    <t>FEMALE</t>
  </si>
  <si>
    <t>19 - 29 y/o - 5,369</t>
  </si>
  <si>
    <t>30 - 59 y/o - 113,974</t>
  </si>
  <si>
    <t>60 - above - 83,222</t>
  </si>
  <si>
    <t>19-29</t>
  </si>
  <si>
    <t>60-above</t>
  </si>
  <si>
    <t>14,157</t>
  </si>
  <si>
    <t>214,970</t>
  </si>
  <si>
    <t>124,648</t>
  </si>
  <si>
    <t>5,369</t>
  </si>
  <si>
    <t>113,974</t>
  </si>
  <si>
    <t>83,222</t>
  </si>
  <si>
    <t>ISABELA</t>
  </si>
  <si>
    <t>NUEVA VIZCAYA</t>
  </si>
  <si>
    <t>QUIRINO</t>
  </si>
  <si>
    <t>CENTRAL LUZON</t>
  </si>
  <si>
    <t>BATAAN</t>
  </si>
  <si>
    <t>BULACAN</t>
  </si>
  <si>
    <t>NUEVA ECIJA</t>
  </si>
  <si>
    <t>PAMPANGA</t>
  </si>
  <si>
    <t>TARLAC</t>
  </si>
  <si>
    <t>ZAMBALES</t>
  </si>
  <si>
    <t>AURORA</t>
  </si>
  <si>
    <t>CALABARZON</t>
  </si>
  <si>
    <t>BATANGAS</t>
  </si>
  <si>
    <t>CAVITE</t>
  </si>
  <si>
    <t>LAGUNA</t>
  </si>
  <si>
    <t>QUEZON</t>
  </si>
  <si>
    <t>RIZAL</t>
  </si>
  <si>
    <t>BICOL</t>
  </si>
  <si>
    <t>ALBAY</t>
  </si>
  <si>
    <t>CAMARINES NORTE</t>
  </si>
  <si>
    <t>CAMARINES SUR</t>
  </si>
  <si>
    <t>CATANDUANES</t>
  </si>
  <si>
    <t>MASBATE</t>
  </si>
  <si>
    <t>SORSOGON</t>
  </si>
  <si>
    <t>WESTERN VISAYAS</t>
  </si>
  <si>
    <t>AKLAN</t>
  </si>
  <si>
    <t>ANTIQUE</t>
  </si>
  <si>
    <t>CAPIZ</t>
  </si>
  <si>
    <t>ILOILO</t>
  </si>
  <si>
    <t>GUIMARAS</t>
  </si>
  <si>
    <t>CENTRAL VISAYAS</t>
  </si>
  <si>
    <t>BOHOL</t>
  </si>
  <si>
    <t>CEBU</t>
  </si>
  <si>
    <t>SIQUIJOR</t>
  </si>
  <si>
    <t>EASTERN VISAYAS</t>
  </si>
  <si>
    <t>EASTERN SAMAR</t>
  </si>
  <si>
    <t>LEYTE</t>
  </si>
  <si>
    <t>NORTHERN SAMAR</t>
  </si>
  <si>
    <t>SAMAR (WESTERN SAMAR)</t>
  </si>
  <si>
    <t>SOUTHERN LEYTE</t>
  </si>
  <si>
    <t>BILIRAN</t>
  </si>
  <si>
    <t>ZAMBOANGA PENINSULA</t>
  </si>
  <si>
    <t>ZAMBOANGA DEL NORTE</t>
  </si>
  <si>
    <t>ZAMBOANGA DEL SUR</t>
  </si>
  <si>
    <t>ZAMBOANGA SIBUGAY</t>
  </si>
  <si>
    <t>CITY OF ISABELA (Not a Province)</t>
  </si>
  <si>
    <t>NORTHERN MINDANAO</t>
  </si>
  <si>
    <t>BUKIDNON</t>
  </si>
  <si>
    <t>CAMIGUIN</t>
  </si>
  <si>
    <t>LANAO DEL NORTE</t>
  </si>
  <si>
    <t>MISAMIS OCCIDENTAL</t>
  </si>
  <si>
    <t>MISAMIS ORIENTAL</t>
  </si>
  <si>
    <t>DAVAO</t>
  </si>
  <si>
    <t>DAVAO DEL NORTE</t>
  </si>
  <si>
    <t>DAVAO DEL SUR</t>
  </si>
  <si>
    <t>DAVAO ORIENTAL</t>
  </si>
  <si>
    <t>DAVAO DE ORO</t>
  </si>
  <si>
    <t>DAVAO OCCIDENTAL</t>
  </si>
  <si>
    <t>SOCCSKSARGEN</t>
  </si>
  <si>
    <t>COTABATO (NORTH COTABATO)</t>
  </si>
  <si>
    <t>SOUTH COTABATO</t>
  </si>
  <si>
    <t>SULTAN KUDARAT</t>
  </si>
  <si>
    <t>SARANGANI</t>
  </si>
  <si>
    <t>CAR</t>
  </si>
  <si>
    <t>ABRA</t>
  </si>
  <si>
    <t>BENGUET</t>
  </si>
  <si>
    <t>IFUGAO</t>
  </si>
  <si>
    <t>KALINGA</t>
  </si>
  <si>
    <t>MOUNTAIN PROVINCE</t>
  </si>
  <si>
    <t>APAYAO</t>
  </si>
  <si>
    <t>BARMM</t>
  </si>
  <si>
    <t>LANAO DEL SUR</t>
  </si>
  <si>
    <t>MAGUINDANAO DEL NORTE</t>
  </si>
  <si>
    <t>MAGUINDANAO DEL SUR</t>
  </si>
  <si>
    <t>NORTH COTABATO (BARMM)</t>
  </si>
  <si>
    <t>CARAGA</t>
  </si>
  <si>
    <t>AGUSAN DEL NORTE</t>
  </si>
  <si>
    <t>AGUSAN DEL SUR</t>
  </si>
  <si>
    <t>SURIGAO DEL NORTE</t>
  </si>
  <si>
    <t>SURIGAO DEL SUR</t>
  </si>
  <si>
    <t>DINAGAT ISLANDS</t>
  </si>
  <si>
    <t>MIMAROPA</t>
  </si>
  <si>
    <t>MARINDUQUE</t>
  </si>
  <si>
    <t>OCCIDENTAL MINDORO</t>
  </si>
  <si>
    <t>ORIENTAL MINDORO</t>
  </si>
  <si>
    <t>PALAWAN</t>
  </si>
  <si>
    <t>ROMBLON</t>
  </si>
  <si>
    <t>NEGROS ISLAND REGION</t>
  </si>
  <si>
    <t>NEGROS OCCIDENTAL</t>
  </si>
  <si>
    <t>NEGROS ORIENTAL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</si>
</sst>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dcedf"/>
        <bgColor rgb="FF000000"/>
      </patternFill>
    </fill>
    <fill>
      <patternFill patternType="solid">
        <fgColor rgb="FFa7dcfe"/>
        <bgColor rgb="FF000000"/>
      </patternFill>
    </fill>
    <fill>
      <patternFill patternType="solid">
        <fgColor rgb="FFfadfb0"/>
        <bgColor rgb="FF000000"/>
      </patternFill>
    </fill>
    <fill>
      <patternFill patternType="solid">
        <fgColor rgb="FF62c95d"/>
        <bgColor rgb="FF000000"/>
      </patternFill>
    </fill>
    <fill>
      <patternFill patternType="solid">
        <fgColor rgb="FFf8fa67"/>
        <bgColor rgb="FF00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3" applyFont="1" applyNumberFormat="0" applyFill="1" applyBorder="1" applyAlignment="1">
      <alignment horizontal="center" vertical="bottom" textRotation="0" wrapText="false" shrinkToFit="false"/>
    </xf>
    <xf xfId="0" fontId="1" numFmtId="0" fillId="5" borderId="4" applyFont="1" applyNumberFormat="0" applyFill="1" applyBorder="1" applyAlignment="1">
      <alignment horizontal="center" vertical="bottom" textRotation="0" wrapText="false" shrinkToFit="false"/>
    </xf>
    <xf xfId="0" fontId="1" numFmtId="0" fillId="6" borderId="4" applyFont="1" applyNumberFormat="0" applyFill="1" applyBorder="1" applyAlignment="1">
      <alignment horizontal="center" vertical="bottom" textRotation="0" wrapText="false" shrinkToFit="false"/>
    </xf>
    <xf xfId="0" fontId="1" numFmtId="0" fillId="4" borderId="4" applyFont="1" applyNumberFormat="0" applyFill="1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5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6" borderId="4" applyFont="0" applyNumberFormat="0" applyFill="1" applyBorder="1" applyAlignment="0">
      <alignment horizontal="general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6" applyFont="1" applyNumberFormat="0" applyFill="1" applyBorder="1" applyAlignment="1">
      <alignment horizontal="center" vertical="bottom" textRotation="0" wrapText="false" shrinkToFit="false"/>
    </xf>
    <xf xfId="0" fontId="1" numFmtId="0" fillId="3" borderId="7" applyFont="1" applyNumberFormat="0" applyFill="1" applyBorder="1" applyAlignment="1">
      <alignment horizontal="center" vertical="bottom" textRotation="0" wrapText="false" shrinkToFit="false"/>
    </xf>
    <xf xfId="0" fontId="1" numFmtId="0" fillId="3" borderId="8" applyFont="1" applyNumberFormat="0" applyFill="1" applyBorder="1" applyAlignment="1">
      <alignment horizontal="center" vertical="bottom" textRotation="0" wrapText="false" shrinkToFit="false"/>
    </xf>
    <xf xfId="0" fontId="1" numFmtId="0" fillId="4" borderId="5" applyFont="1" applyNumberFormat="0" applyFill="1" applyBorder="1" applyAlignment="1">
      <alignment horizontal="center" vertical="bottom" textRotation="0" wrapText="false" shrinkToFit="false"/>
    </xf>
    <xf xfId="0" fontId="1" numFmtId="0" fillId="4" borderId="6" applyFont="1" applyNumberFormat="0" applyFill="1" applyBorder="1" applyAlignment="1">
      <alignment horizontal="center" vertical="bottom" textRotation="0" wrapText="false" shrinkToFit="false"/>
    </xf>
    <xf xfId="0" fontId="1" numFmtId="0" fillId="4" borderId="7" applyFont="1" applyNumberFormat="0" applyFill="1" applyBorder="1" applyAlignment="1">
      <alignment horizontal="center" vertical="bottom" textRotation="0" wrapText="false" shrinkToFit="false"/>
    </xf>
    <xf xfId="0" fontId="1" numFmtId="0" fillId="4" borderId="8" applyFont="1" applyNumberFormat="0" applyFill="1" applyBorder="1" applyAlignment="1">
      <alignment horizontal="center" vertical="bottom" textRotation="0" wrapText="false" shrinkToFit="false"/>
    </xf>
    <xf xfId="0" fontId="1" numFmtId="0" fillId="3" borderId="9" applyFont="1" applyNumberFormat="0" applyFill="1" applyBorder="1" applyAlignment="1">
      <alignment horizontal="center" vertical="bottom" textRotation="0" wrapText="false" shrinkToFit="false"/>
    </xf>
    <xf xfId="0" fontId="1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4" borderId="9" applyFont="1" applyNumberFormat="0" applyFill="1" applyBorder="1" applyAlignment="1">
      <alignment horizontal="center" vertical="bottom" textRotation="0" wrapText="false" shrinkToFit="false"/>
    </xf>
    <xf xfId="0" fontId="1" numFmtId="0" fillId="4" borderId="10" applyFont="1" applyNumberFormat="0" applyFill="1" applyBorder="1" applyAlignment="1">
      <alignment horizontal="center" vertical="bottom" textRotation="0" wrapText="false" shrinkToFit="false"/>
    </xf>
    <xf xfId="0" fontId="1" numFmtId="0" fillId="4" borderId="11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4" borderId="4" applyFont="0" applyNumberFormat="0" applyFill="1" applyBorder="1" applyAlignment="0">
      <alignment horizontal="general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O682"/>
  <sheetViews>
    <sheetView tabSelected="1" workbookViewId="0" showGridLines="true" showRowColHeaders="1">
      <pane ySplit="5" topLeftCell="A6" activePane="bottomLeft" state="frozen"/>
      <selection pane="bottomLeft" activeCell="AE43" sqref="AE43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15.57" customWidth="true" style="0"/>
    <col min="4" max="4" width="10" customWidth="true" style="0"/>
    <col min="5" max="5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  <col min="21" max="21" width="10" customWidth="true" style="0"/>
    <col min="23" max="23" width="15" customWidth="true" style="0"/>
    <col min="24" max="24" width="10" customWidth="true" style="0"/>
    <col min="27" max="27" width="10" customWidth="true" style="0"/>
  </cols>
  <sheetData>
    <row r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3" spans="1:41"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41">
      <c r="D4" s="5" t="s">
        <v>2</v>
      </c>
      <c r="E4" s="5"/>
      <c r="F4" s="5"/>
      <c r="G4" s="9" t="s">
        <v>3</v>
      </c>
      <c r="H4" s="9"/>
      <c r="I4" s="9"/>
      <c r="J4" s="5" t="s">
        <v>4</v>
      </c>
      <c r="K4" s="5"/>
      <c r="L4" s="5"/>
      <c r="M4" s="9" t="s">
        <v>5</v>
      </c>
      <c r="N4" s="9"/>
      <c r="O4" s="9"/>
      <c r="P4" s="5" t="s">
        <v>6</v>
      </c>
      <c r="Q4" s="5"/>
      <c r="R4" s="5"/>
      <c r="S4" s="9" t="s">
        <v>7</v>
      </c>
      <c r="T4" s="9"/>
      <c r="U4" s="9"/>
    </row>
    <row r="5" spans="1:41">
      <c r="A5" s="9" t="s">
        <v>8</v>
      </c>
      <c r="B5" s="11" t="s">
        <v>9</v>
      </c>
      <c r="C5" s="12" t="s">
        <v>10</v>
      </c>
      <c r="D5" s="5" t="s">
        <v>11</v>
      </c>
      <c r="E5" s="6" t="s">
        <v>12</v>
      </c>
      <c r="F5" s="7" t="s">
        <v>13</v>
      </c>
      <c r="G5" s="9" t="s">
        <v>11</v>
      </c>
      <c r="H5" s="10" t="s">
        <v>12</v>
      </c>
      <c r="I5" s="11" t="s">
        <v>13</v>
      </c>
      <c r="J5" s="5" t="s">
        <v>11</v>
      </c>
      <c r="K5" s="6" t="s">
        <v>12</v>
      </c>
      <c r="L5" s="7" t="s">
        <v>13</v>
      </c>
      <c r="M5" s="9" t="s">
        <v>11</v>
      </c>
      <c r="N5" s="10" t="s">
        <v>12</v>
      </c>
      <c r="O5" s="11" t="s">
        <v>13</v>
      </c>
      <c r="P5" s="5" t="s">
        <v>11</v>
      </c>
      <c r="Q5" s="6" t="s">
        <v>12</v>
      </c>
      <c r="R5" s="7" t="s">
        <v>13</v>
      </c>
      <c r="S5" s="9" t="s">
        <v>11</v>
      </c>
      <c r="T5" s="10" t="s">
        <v>12</v>
      </c>
      <c r="U5" s="11" t="s">
        <v>13</v>
      </c>
    </row>
    <row r="6" spans="1:41">
      <c r="A6" s="9" t="s">
        <v>14</v>
      </c>
      <c r="B6" s="11" t="s">
        <v>15</v>
      </c>
      <c r="C6" s="12" t="s">
        <v>16</v>
      </c>
      <c r="D6" s="5">
        <v>8</v>
      </c>
      <c r="E6" s="6">
        <v>142</v>
      </c>
      <c r="F6" s="7">
        <v>65</v>
      </c>
      <c r="G6" s="9">
        <v>0</v>
      </c>
      <c r="H6" s="10">
        <v>29</v>
      </c>
      <c r="I6" s="11">
        <v>17</v>
      </c>
      <c r="J6" s="5">
        <v>3.49</v>
      </c>
      <c r="K6" s="6">
        <v>82.9</v>
      </c>
      <c r="L6" s="7">
        <v>46</v>
      </c>
      <c r="M6" s="9">
        <v>0</v>
      </c>
      <c r="N6" s="10">
        <v>12.63</v>
      </c>
      <c r="O6" s="11">
        <v>8.38</v>
      </c>
      <c r="P6" s="5">
        <v>8</v>
      </c>
      <c r="Q6" s="6">
        <v>194</v>
      </c>
      <c r="R6" s="7">
        <v>100</v>
      </c>
      <c r="S6" s="9">
        <v>0</v>
      </c>
      <c r="T6" s="10">
        <v>30</v>
      </c>
      <c r="U6" s="11">
        <v>20</v>
      </c>
    </row>
    <row r="7" spans="1:41">
      <c r="A7"/>
      <c r="B7"/>
      <c r="C7" s="12" t="s">
        <v>17</v>
      </c>
      <c r="D7" s="5">
        <v>8</v>
      </c>
      <c r="E7" s="6">
        <v>249</v>
      </c>
      <c r="F7" s="7">
        <v>160</v>
      </c>
      <c r="G7" s="9">
        <v>1</v>
      </c>
      <c r="H7" s="10">
        <v>64</v>
      </c>
      <c r="I7" s="11">
        <v>48</v>
      </c>
      <c r="J7" s="5">
        <v>3.98</v>
      </c>
      <c r="K7" s="6">
        <v>144.42</v>
      </c>
      <c r="L7" s="7">
        <v>98.47</v>
      </c>
      <c r="M7" s="9">
        <v>0.14</v>
      </c>
      <c r="N7" s="10">
        <v>32.48</v>
      </c>
      <c r="O7" s="11">
        <v>22.05</v>
      </c>
      <c r="P7" s="5">
        <v>10</v>
      </c>
      <c r="Q7" s="6">
        <v>336</v>
      </c>
      <c r="R7" s="7">
        <v>224</v>
      </c>
      <c r="S7" s="9">
        <v>1</v>
      </c>
      <c r="T7" s="10">
        <v>80</v>
      </c>
      <c r="U7" s="11">
        <v>55</v>
      </c>
    </row>
    <row r="8" spans="1:41">
      <c r="A8"/>
      <c r="B8"/>
      <c r="C8" s="12" t="s">
        <v>18</v>
      </c>
      <c r="D8" s="5">
        <v>11</v>
      </c>
      <c r="E8" s="6">
        <v>474</v>
      </c>
      <c r="F8" s="7">
        <v>228</v>
      </c>
      <c r="G8" s="9">
        <v>3</v>
      </c>
      <c r="H8" s="10">
        <v>79</v>
      </c>
      <c r="I8" s="11">
        <v>58</v>
      </c>
      <c r="J8" s="5">
        <v>5.07</v>
      </c>
      <c r="K8" s="6">
        <v>282.88</v>
      </c>
      <c r="L8" s="7">
        <v>148.27</v>
      </c>
      <c r="M8" s="9">
        <v>1.62</v>
      </c>
      <c r="N8" s="10">
        <v>49.74</v>
      </c>
      <c r="O8" s="11">
        <v>31.75</v>
      </c>
      <c r="P8" s="5">
        <v>12</v>
      </c>
      <c r="Q8" s="6">
        <v>675</v>
      </c>
      <c r="R8" s="7">
        <v>348</v>
      </c>
      <c r="S8" s="9">
        <v>4</v>
      </c>
      <c r="T8" s="10">
        <v>120</v>
      </c>
      <c r="U8" s="11">
        <v>76</v>
      </c>
      <c r="W8" s="15" t="s">
        <v>19</v>
      </c>
      <c r="X8" s="1">
        <v>353775</v>
      </c>
    </row>
    <row r="9" spans="1:41">
      <c r="A9"/>
      <c r="B9"/>
      <c r="C9" s="12" t="s">
        <v>20</v>
      </c>
      <c r="D9" s="5">
        <v>36</v>
      </c>
      <c r="E9" s="6">
        <v>1337</v>
      </c>
      <c r="F9" s="7">
        <v>652</v>
      </c>
      <c r="G9" s="9">
        <v>15</v>
      </c>
      <c r="H9" s="10">
        <v>206</v>
      </c>
      <c r="I9" s="11">
        <v>126</v>
      </c>
      <c r="J9" s="5">
        <v>19.66</v>
      </c>
      <c r="K9" s="6">
        <v>744.14</v>
      </c>
      <c r="L9" s="7">
        <v>388.92</v>
      </c>
      <c r="M9" s="9">
        <v>8.39</v>
      </c>
      <c r="N9" s="10">
        <v>115.07</v>
      </c>
      <c r="O9" s="11">
        <v>66.95</v>
      </c>
      <c r="P9" s="5">
        <v>45</v>
      </c>
      <c r="Q9" s="6">
        <v>1706</v>
      </c>
      <c r="R9" s="7">
        <v>880</v>
      </c>
      <c r="S9" s="9">
        <v>18</v>
      </c>
      <c r="T9" s="10">
        <v>264</v>
      </c>
      <c r="U9" s="11">
        <v>156</v>
      </c>
      <c r="W9" s="15" t="s">
        <v>21</v>
      </c>
      <c r="X9" s="1">
        <v>202565</v>
      </c>
    </row>
    <row r="10" spans="1:41">
      <c r="A10"/>
      <c r="B10"/>
      <c r="C10" s="12" t="s">
        <v>22</v>
      </c>
      <c r="D10" s="5">
        <v>11</v>
      </c>
      <c r="E10" s="6">
        <v>236</v>
      </c>
      <c r="F10" s="7">
        <v>123</v>
      </c>
      <c r="G10" s="9">
        <v>2</v>
      </c>
      <c r="H10" s="10">
        <v>61</v>
      </c>
      <c r="I10" s="11">
        <v>34</v>
      </c>
      <c r="J10" s="5">
        <v>6.9</v>
      </c>
      <c r="K10" s="6">
        <v>146.48</v>
      </c>
      <c r="L10" s="7">
        <v>86.06</v>
      </c>
      <c r="M10" s="9">
        <v>1.5</v>
      </c>
      <c r="N10" s="10">
        <v>37</v>
      </c>
      <c r="O10" s="11">
        <v>19.32</v>
      </c>
      <c r="P10" s="5">
        <v>18</v>
      </c>
      <c r="Q10" s="6">
        <v>343</v>
      </c>
      <c r="R10" s="7">
        <v>198</v>
      </c>
      <c r="S10" s="9">
        <v>3</v>
      </c>
      <c r="T10" s="10">
        <v>84</v>
      </c>
      <c r="U10" s="11">
        <v>46</v>
      </c>
    </row>
    <row r="11" spans="1:41">
      <c r="A11"/>
      <c r="B11"/>
      <c r="C11" s="12" t="s">
        <v>23</v>
      </c>
      <c r="D11" s="5">
        <v>12</v>
      </c>
      <c r="E11" s="6">
        <v>371</v>
      </c>
      <c r="F11" s="7">
        <v>201</v>
      </c>
      <c r="G11" s="9">
        <v>3</v>
      </c>
      <c r="H11" s="10">
        <v>71</v>
      </c>
      <c r="I11" s="11">
        <v>56</v>
      </c>
      <c r="J11" s="5">
        <v>5.6</v>
      </c>
      <c r="K11" s="6">
        <v>218.29</v>
      </c>
      <c r="L11" s="7">
        <v>122.47</v>
      </c>
      <c r="M11" s="9">
        <v>1.5</v>
      </c>
      <c r="N11" s="10">
        <v>37.24</v>
      </c>
      <c r="O11" s="11">
        <v>28.13</v>
      </c>
      <c r="P11" s="5">
        <v>14</v>
      </c>
      <c r="Q11" s="6">
        <v>509</v>
      </c>
      <c r="R11" s="7">
        <v>281</v>
      </c>
      <c r="S11" s="9">
        <v>3</v>
      </c>
      <c r="T11" s="10">
        <v>88</v>
      </c>
      <c r="U11" s="11">
        <v>65</v>
      </c>
      <c r="X11" s="20" t="s">
        <v>2</v>
      </c>
      <c r="Y11" s="20"/>
      <c r="Z11" s="20"/>
      <c r="AA11" s="24" t="s">
        <v>3</v>
      </c>
      <c r="AB11" s="24"/>
      <c r="AC11" s="24"/>
      <c r="AD11" s="20" t="s">
        <v>4</v>
      </c>
      <c r="AE11" s="20"/>
      <c r="AF11" s="20"/>
      <c r="AG11" s="24" t="s">
        <v>5</v>
      </c>
      <c r="AH11" s="24"/>
      <c r="AI11" s="24"/>
      <c r="AJ11" s="20" t="s">
        <v>24</v>
      </c>
      <c r="AK11" s="20"/>
      <c r="AL11" s="20"/>
      <c r="AM11" s="24" t="s">
        <v>25</v>
      </c>
      <c r="AN11" s="24"/>
      <c r="AO11" s="24"/>
    </row>
    <row r="12" spans="1:41">
      <c r="C12" s="13" t="s">
        <v>26</v>
      </c>
      <c r="D12" s="13" t="str">
        <f>SUM(D6:D11)</f>
        <v>0</v>
      </c>
      <c r="E12" s="13" t="str">
        <f>SUM(E6:E11)</f>
        <v>0</v>
      </c>
      <c r="F12" s="13" t="str">
        <f>SUM(F6:F11)</f>
        <v>0</v>
      </c>
      <c r="G12" s="13" t="str">
        <f>SUM(G6:G11)</f>
        <v>0</v>
      </c>
      <c r="H12" s="13" t="str">
        <f>SUM(H6:H11)</f>
        <v>0</v>
      </c>
      <c r="I12" s="13" t="str">
        <f>SUM(I6:I11)</f>
        <v>0</v>
      </c>
      <c r="J12" s="13" t="str">
        <f>SUM(J6:J11)</f>
        <v>0</v>
      </c>
      <c r="K12" s="13" t="str">
        <f>SUM(K6:K11)</f>
        <v>0</v>
      </c>
      <c r="L12" s="13" t="str">
        <f>SUM(L6:L11)</f>
        <v>0</v>
      </c>
      <c r="M12" s="13" t="str">
        <f>SUM(M6:M11)</f>
        <v>0</v>
      </c>
      <c r="N12" s="13" t="str">
        <f>SUM(N6:N11)</f>
        <v>0</v>
      </c>
      <c r="O12" s="13" t="str">
        <f>SUM(O6:O11)</f>
        <v>0</v>
      </c>
      <c r="P12" s="13" t="str">
        <f>SUM(P6:P11)</f>
        <v>0</v>
      </c>
      <c r="Q12" s="13" t="str">
        <f>SUM(Q6:Q11)</f>
        <v>0</v>
      </c>
      <c r="R12" s="13" t="str">
        <f>SUM(R6:R11)</f>
        <v>0</v>
      </c>
      <c r="S12" s="13" t="str">
        <f>SUM(S6:S11)</f>
        <v>0</v>
      </c>
      <c r="T12" s="13" t="str">
        <f>SUM(T6:T11)</f>
        <v>0</v>
      </c>
      <c r="U12" s="13" t="str">
        <f>SUM(U6:U11)</f>
        <v>0</v>
      </c>
      <c r="W12" s="16" t="s">
        <v>27</v>
      </c>
      <c r="X12" s="21" t="s">
        <v>11</v>
      </c>
      <c r="Y12" s="4" t="s">
        <v>12</v>
      </c>
      <c r="Z12" s="23" t="s">
        <v>13</v>
      </c>
      <c r="AA12" s="25" t="s">
        <v>11</v>
      </c>
      <c r="AB12" s="8" t="s">
        <v>12</v>
      </c>
      <c r="AC12" s="27" t="s">
        <v>13</v>
      </c>
      <c r="AD12" s="21" t="s">
        <v>11</v>
      </c>
      <c r="AE12" s="4" t="s">
        <v>12</v>
      </c>
      <c r="AF12" s="23" t="s">
        <v>13</v>
      </c>
      <c r="AG12" s="25" t="s">
        <v>11</v>
      </c>
      <c r="AH12" s="8" t="s">
        <v>12</v>
      </c>
      <c r="AI12" s="27" t="s">
        <v>13</v>
      </c>
      <c r="AJ12" s="21"/>
      <c r="AK12" s="4"/>
      <c r="AL12" s="23"/>
      <c r="AM12" s="25"/>
      <c r="AN12" s="8"/>
      <c r="AO12" s="27"/>
    </row>
    <row r="13" spans="1:41">
      <c r="A13"/>
      <c r="B13" s="14" t="s">
        <v>28</v>
      </c>
      <c r="C13" s="12" t="s">
        <v>16</v>
      </c>
      <c r="D13" s="5">
        <v>66</v>
      </c>
      <c r="E13" s="6">
        <v>1856</v>
      </c>
      <c r="F13" s="7">
        <v>983</v>
      </c>
      <c r="G13" s="9">
        <v>15</v>
      </c>
      <c r="H13" s="10">
        <v>384</v>
      </c>
      <c r="I13" s="11">
        <v>351</v>
      </c>
      <c r="J13" s="5">
        <v>29.84</v>
      </c>
      <c r="K13" s="6">
        <v>1038.62</v>
      </c>
      <c r="L13" s="7">
        <v>616.82</v>
      </c>
      <c r="M13" s="9">
        <v>6.91</v>
      </c>
      <c r="N13" s="10">
        <v>194.91</v>
      </c>
      <c r="O13" s="11">
        <v>195.1</v>
      </c>
      <c r="P13" s="5">
        <v>85</v>
      </c>
      <c r="Q13" s="6">
        <v>2661</v>
      </c>
      <c r="R13" s="7">
        <v>1544</v>
      </c>
      <c r="S13" s="9">
        <v>21</v>
      </c>
      <c r="T13" s="10">
        <v>528</v>
      </c>
      <c r="U13" s="11">
        <v>505</v>
      </c>
      <c r="W13" s="16" t="s">
        <v>16</v>
      </c>
      <c r="X13" s="19">
        <v>945</v>
      </c>
      <c r="Y13" s="19">
        <v>20465</v>
      </c>
      <c r="Z13" s="19">
        <v>13141</v>
      </c>
      <c r="AA13" s="14">
        <v>487</v>
      </c>
      <c r="AB13" s="14">
        <v>11589</v>
      </c>
      <c r="AC13" s="14">
        <v>9146</v>
      </c>
      <c r="AD13" s="19">
        <v>921.06</v>
      </c>
      <c r="AE13" s="19">
        <v>19618.98</v>
      </c>
      <c r="AF13" s="19">
        <v>13355.09</v>
      </c>
      <c r="AG13" s="14">
        <v>458.22</v>
      </c>
      <c r="AH13" s="14">
        <v>10366.64</v>
      </c>
      <c r="AI13" s="14">
        <v>8298.36</v>
      </c>
      <c r="AJ13" s="19">
        <v>2048</v>
      </c>
      <c r="AK13" s="19">
        <v>44062</v>
      </c>
      <c r="AL13" s="19">
        <v>29869</v>
      </c>
      <c r="AM13" s="14">
        <v>1027</v>
      </c>
      <c r="AN13" s="14">
        <v>23666</v>
      </c>
      <c r="AO13" s="14">
        <v>18907</v>
      </c>
    </row>
    <row r="14" spans="1:41">
      <c r="A14"/>
      <c r="B14"/>
      <c r="C14" s="12" t="s">
        <v>17</v>
      </c>
      <c r="D14" s="5">
        <v>18</v>
      </c>
      <c r="E14" s="6">
        <v>376</v>
      </c>
      <c r="F14" s="7">
        <v>246</v>
      </c>
      <c r="G14" s="9">
        <v>3</v>
      </c>
      <c r="H14" s="10">
        <v>67</v>
      </c>
      <c r="I14" s="11">
        <v>69</v>
      </c>
      <c r="J14" s="5">
        <v>9.78</v>
      </c>
      <c r="K14" s="6">
        <v>198.38</v>
      </c>
      <c r="L14" s="7">
        <v>132.76</v>
      </c>
      <c r="M14" s="9">
        <v>0.98</v>
      </c>
      <c r="N14" s="10">
        <v>36.15</v>
      </c>
      <c r="O14" s="11">
        <v>29.51</v>
      </c>
      <c r="P14" s="5">
        <v>28</v>
      </c>
      <c r="Q14" s="6">
        <v>524</v>
      </c>
      <c r="R14" s="7">
        <v>356</v>
      </c>
      <c r="S14" s="9">
        <v>4</v>
      </c>
      <c r="T14" s="10">
        <v>99</v>
      </c>
      <c r="U14" s="11">
        <v>91</v>
      </c>
      <c r="W14" s="16" t="s">
        <v>17</v>
      </c>
      <c r="X14" s="19">
        <v>759</v>
      </c>
      <c r="Y14" s="19">
        <v>14592</v>
      </c>
      <c r="Z14" s="19">
        <v>9618</v>
      </c>
      <c r="AA14" s="14">
        <v>318</v>
      </c>
      <c r="AB14" s="14">
        <v>7354</v>
      </c>
      <c r="AC14" s="14">
        <v>5679</v>
      </c>
      <c r="AD14" s="19">
        <v>812.5</v>
      </c>
      <c r="AE14" s="19">
        <v>16522.67</v>
      </c>
      <c r="AF14" s="19">
        <v>11040.3</v>
      </c>
      <c r="AG14" s="14">
        <v>364.64</v>
      </c>
      <c r="AH14" s="14">
        <v>8144.15</v>
      </c>
      <c r="AI14" s="14">
        <v>6061.15</v>
      </c>
      <c r="AJ14" s="19">
        <v>1774</v>
      </c>
      <c r="AK14" s="19">
        <v>36460</v>
      </c>
      <c r="AL14" s="19">
        <v>24426</v>
      </c>
      <c r="AM14" s="14">
        <v>790</v>
      </c>
      <c r="AN14" s="14">
        <v>18020</v>
      </c>
      <c r="AO14" s="14">
        <v>13557</v>
      </c>
    </row>
    <row r="15" spans="1:41">
      <c r="A15"/>
      <c r="B15"/>
      <c r="C15" s="12" t="s">
        <v>18</v>
      </c>
      <c r="D15" s="5">
        <v>5</v>
      </c>
      <c r="E15" s="6">
        <v>154</v>
      </c>
      <c r="F15" s="7">
        <v>96</v>
      </c>
      <c r="G15" s="9">
        <v>0</v>
      </c>
      <c r="H15" s="10">
        <v>21</v>
      </c>
      <c r="I15" s="11">
        <v>18</v>
      </c>
      <c r="J15" s="5">
        <v>1.59</v>
      </c>
      <c r="K15" s="6">
        <v>110.43</v>
      </c>
      <c r="L15" s="7">
        <v>75.25</v>
      </c>
      <c r="M15" s="9">
        <v>0</v>
      </c>
      <c r="N15" s="10">
        <v>12.25</v>
      </c>
      <c r="O15" s="11">
        <v>14.71</v>
      </c>
      <c r="P15" s="5">
        <v>5</v>
      </c>
      <c r="Q15" s="6">
        <v>270</v>
      </c>
      <c r="R15" s="7">
        <v>176</v>
      </c>
      <c r="S15" s="9">
        <v>0</v>
      </c>
      <c r="T15" s="10">
        <v>32</v>
      </c>
      <c r="U15" s="11">
        <v>35</v>
      </c>
      <c r="W15" s="16" t="s">
        <v>18</v>
      </c>
      <c r="X15" s="19">
        <v>1070</v>
      </c>
      <c r="Y15" s="19">
        <v>21956</v>
      </c>
      <c r="Z15" s="19">
        <v>14751</v>
      </c>
      <c r="AA15" s="14">
        <v>553</v>
      </c>
      <c r="AB15" s="14">
        <v>13471</v>
      </c>
      <c r="AC15" s="14">
        <v>11019</v>
      </c>
      <c r="AD15" s="19">
        <v>893.98</v>
      </c>
      <c r="AE15" s="19">
        <v>19556.22</v>
      </c>
      <c r="AF15" s="19">
        <v>14065.21</v>
      </c>
      <c r="AG15" s="14">
        <v>449.56</v>
      </c>
      <c r="AH15" s="14">
        <v>10921.56</v>
      </c>
      <c r="AI15" s="14">
        <v>9310.88</v>
      </c>
      <c r="AJ15" s="19">
        <v>2040</v>
      </c>
      <c r="AK15" s="19">
        <v>44692</v>
      </c>
      <c r="AL15" s="19">
        <v>32018</v>
      </c>
      <c r="AM15" s="14">
        <v>1042</v>
      </c>
      <c r="AN15" s="14">
        <v>25489</v>
      </c>
      <c r="AO15" s="14">
        <v>21702</v>
      </c>
    </row>
    <row r="16" spans="1:41">
      <c r="A16"/>
      <c r="B16"/>
      <c r="C16" s="12" t="s">
        <v>29</v>
      </c>
      <c r="D16" s="5">
        <v>2</v>
      </c>
      <c r="E16" s="6">
        <v>127</v>
      </c>
      <c r="F16" s="7">
        <v>71</v>
      </c>
      <c r="G16" s="9">
        <v>0</v>
      </c>
      <c r="H16" s="10">
        <v>22</v>
      </c>
      <c r="I16" s="11">
        <v>13</v>
      </c>
      <c r="J16" s="5">
        <v>1.25</v>
      </c>
      <c r="K16" s="6">
        <v>60.91</v>
      </c>
      <c r="L16" s="7">
        <v>33.48</v>
      </c>
      <c r="M16" s="9">
        <v>0</v>
      </c>
      <c r="N16" s="10">
        <v>10.33</v>
      </c>
      <c r="O16" s="11">
        <v>6.15</v>
      </c>
      <c r="P16" s="5">
        <v>3</v>
      </c>
      <c r="Q16" s="6">
        <v>149</v>
      </c>
      <c r="R16" s="7">
        <v>83</v>
      </c>
      <c r="S16" s="9">
        <v>0</v>
      </c>
      <c r="T16" s="10">
        <v>28</v>
      </c>
      <c r="U16" s="11">
        <v>15</v>
      </c>
      <c r="W16" s="16" t="s">
        <v>20</v>
      </c>
      <c r="X16" s="19">
        <v>5915</v>
      </c>
      <c r="Y16" s="19">
        <v>78744</v>
      </c>
      <c r="Z16" s="19">
        <v>41540</v>
      </c>
      <c r="AA16" s="14">
        <v>1944</v>
      </c>
      <c r="AB16" s="14">
        <v>38346</v>
      </c>
      <c r="AC16" s="14">
        <v>26834</v>
      </c>
      <c r="AD16" s="19">
        <v>6050.03</v>
      </c>
      <c r="AE16" s="19">
        <v>85559.54</v>
      </c>
      <c r="AF16" s="19">
        <v>46653.19</v>
      </c>
      <c r="AG16" s="14">
        <v>1983.38</v>
      </c>
      <c r="AH16" s="14">
        <v>37593.34</v>
      </c>
      <c r="AI16" s="14">
        <v>26689.98</v>
      </c>
      <c r="AJ16" s="19">
        <v>13695</v>
      </c>
      <c r="AK16" s="19">
        <v>189945</v>
      </c>
      <c r="AL16" s="19">
        <v>103240</v>
      </c>
      <c r="AM16" s="14">
        <v>4447</v>
      </c>
      <c r="AN16" s="14">
        <v>84525</v>
      </c>
      <c r="AO16" s="14">
        <v>60125</v>
      </c>
    </row>
    <row r="17" spans="1:41">
      <c r="A17"/>
      <c r="B17"/>
      <c r="C17" s="12" t="s">
        <v>20</v>
      </c>
      <c r="D17" s="5">
        <v>40</v>
      </c>
      <c r="E17" s="6">
        <v>1074</v>
      </c>
      <c r="F17" s="7">
        <v>529</v>
      </c>
      <c r="G17" s="9">
        <v>8</v>
      </c>
      <c r="H17" s="10">
        <v>201</v>
      </c>
      <c r="I17" s="11">
        <v>175</v>
      </c>
      <c r="J17" s="5">
        <v>17.87</v>
      </c>
      <c r="K17" s="6">
        <v>719.26</v>
      </c>
      <c r="L17" s="7">
        <v>372.42</v>
      </c>
      <c r="M17" s="9">
        <v>5.61</v>
      </c>
      <c r="N17" s="10">
        <v>142.57</v>
      </c>
      <c r="O17" s="11">
        <v>112.77</v>
      </c>
      <c r="P17" s="5">
        <v>51</v>
      </c>
      <c r="Q17" s="6">
        <v>1812</v>
      </c>
      <c r="R17" s="7">
        <v>920</v>
      </c>
      <c r="S17" s="9">
        <v>15</v>
      </c>
      <c r="T17" s="10">
        <v>359</v>
      </c>
      <c r="U17" s="11">
        <v>280</v>
      </c>
      <c r="W17" s="16" t="s">
        <v>22</v>
      </c>
      <c r="X17" s="19">
        <v>271</v>
      </c>
      <c r="Y17" s="19">
        <v>4849</v>
      </c>
      <c r="Z17" s="19">
        <v>3196</v>
      </c>
      <c r="AA17" s="14">
        <v>117</v>
      </c>
      <c r="AB17" s="14">
        <v>2865</v>
      </c>
      <c r="AC17" s="14">
        <v>2298</v>
      </c>
      <c r="AD17" s="19">
        <v>241.5</v>
      </c>
      <c r="AE17" s="19">
        <v>4587.39</v>
      </c>
      <c r="AF17" s="19">
        <v>3112.4</v>
      </c>
      <c r="AG17" s="14">
        <v>103.66</v>
      </c>
      <c r="AH17" s="14">
        <v>2574.38</v>
      </c>
      <c r="AI17" s="14">
        <v>2048.63</v>
      </c>
      <c r="AJ17" s="19">
        <v>543</v>
      </c>
      <c r="AK17" s="19">
        <v>10209</v>
      </c>
      <c r="AL17" s="19">
        <v>6969</v>
      </c>
      <c r="AM17" s="14">
        <v>231</v>
      </c>
      <c r="AN17" s="14">
        <v>5829</v>
      </c>
      <c r="AO17" s="14">
        <v>4664</v>
      </c>
    </row>
    <row r="18" spans="1:41">
      <c r="A18"/>
      <c r="B18"/>
      <c r="C18" s="12" t="s">
        <v>22</v>
      </c>
      <c r="D18" s="5">
        <v>5</v>
      </c>
      <c r="E18" s="6">
        <v>57</v>
      </c>
      <c r="F18" s="7">
        <v>32</v>
      </c>
      <c r="G18" s="9">
        <v>1</v>
      </c>
      <c r="H18" s="10">
        <v>18</v>
      </c>
      <c r="I18" s="11">
        <v>12</v>
      </c>
      <c r="J18" s="5">
        <v>1.8</v>
      </c>
      <c r="K18" s="6">
        <v>30.51</v>
      </c>
      <c r="L18" s="7">
        <v>27.51</v>
      </c>
      <c r="M18" s="9">
        <v>0.31</v>
      </c>
      <c r="N18" s="10">
        <v>14.75</v>
      </c>
      <c r="O18" s="11">
        <v>5.96</v>
      </c>
      <c r="P18" s="5">
        <v>6</v>
      </c>
      <c r="Q18" s="6">
        <v>81</v>
      </c>
      <c r="R18" s="7">
        <v>62</v>
      </c>
      <c r="S18" s="9">
        <v>1</v>
      </c>
      <c r="T18" s="10">
        <v>35</v>
      </c>
      <c r="U18" s="11">
        <v>15</v>
      </c>
      <c r="W18" s="16" t="s">
        <v>23</v>
      </c>
      <c r="X18" s="19">
        <v>297</v>
      </c>
      <c r="Y18" s="19">
        <v>6907</v>
      </c>
      <c r="Z18" s="19">
        <v>4267</v>
      </c>
      <c r="AA18" s="14">
        <v>119</v>
      </c>
      <c r="AB18" s="14">
        <v>3457</v>
      </c>
      <c r="AC18" s="14">
        <v>2666</v>
      </c>
      <c r="AD18" s="19">
        <v>256.85</v>
      </c>
      <c r="AE18" s="19">
        <v>6582.3</v>
      </c>
      <c r="AF18" s="19">
        <v>4329.96</v>
      </c>
      <c r="AG18" s="14">
        <v>111.26</v>
      </c>
      <c r="AH18" s="14">
        <v>3165.89</v>
      </c>
      <c r="AI18" s="14">
        <v>2544.68</v>
      </c>
      <c r="AJ18" s="19">
        <v>575</v>
      </c>
      <c r="AK18" s="19">
        <v>14653</v>
      </c>
      <c r="AL18" s="19">
        <v>9632</v>
      </c>
      <c r="AM18" s="14">
        <v>246</v>
      </c>
      <c r="AN18" s="14">
        <v>7131</v>
      </c>
      <c r="AO18" s="14">
        <v>5697</v>
      </c>
    </row>
    <row r="19" spans="1:41">
      <c r="A19"/>
      <c r="B19"/>
      <c r="C19" s="12" t="s">
        <v>23</v>
      </c>
      <c r="D19" s="5">
        <v>3</v>
      </c>
      <c r="E19" s="6">
        <v>133</v>
      </c>
      <c r="F19" s="7">
        <v>78</v>
      </c>
      <c r="G19" s="9">
        <v>3</v>
      </c>
      <c r="H19" s="10">
        <v>21</v>
      </c>
      <c r="I19" s="11">
        <v>16</v>
      </c>
      <c r="J19" s="5">
        <v>2.45</v>
      </c>
      <c r="K19" s="6">
        <v>77.56</v>
      </c>
      <c r="L19" s="7">
        <v>42.64</v>
      </c>
      <c r="M19" s="9">
        <v>1.74</v>
      </c>
      <c r="N19" s="10">
        <v>7.86</v>
      </c>
      <c r="O19" s="11">
        <v>8.54</v>
      </c>
      <c r="P19" s="5">
        <v>5</v>
      </c>
      <c r="Q19" s="6">
        <v>184</v>
      </c>
      <c r="R19" s="7">
        <v>103</v>
      </c>
      <c r="S19" s="9">
        <v>4</v>
      </c>
      <c r="T19" s="10">
        <v>24</v>
      </c>
      <c r="U19" s="11">
        <v>20</v>
      </c>
      <c r="W19" s="16" t="s">
        <v>29</v>
      </c>
      <c r="X19" s="19">
        <v>256</v>
      </c>
      <c r="Y19" s="19">
        <v>5699</v>
      </c>
      <c r="Z19" s="19">
        <v>3916</v>
      </c>
      <c r="AA19" s="14">
        <v>122</v>
      </c>
      <c r="AB19" s="14">
        <v>2609</v>
      </c>
      <c r="AC19" s="14">
        <v>2027</v>
      </c>
      <c r="AD19" s="19">
        <v>336.1</v>
      </c>
      <c r="AE19" s="19">
        <v>7469.81</v>
      </c>
      <c r="AF19" s="19">
        <v>4885.68</v>
      </c>
      <c r="AG19" s="14">
        <v>151.92</v>
      </c>
      <c r="AH19" s="14">
        <v>2978.96</v>
      </c>
      <c r="AI19" s="14">
        <v>2252.42</v>
      </c>
      <c r="AJ19" s="19">
        <v>716</v>
      </c>
      <c r="AK19" s="19">
        <v>16094</v>
      </c>
      <c r="AL19" s="19">
        <v>10646</v>
      </c>
      <c r="AM19" s="14">
        <v>325</v>
      </c>
      <c r="AN19" s="14">
        <v>6568</v>
      </c>
      <c r="AO19" s="14">
        <v>4995</v>
      </c>
    </row>
    <row r="20" spans="1:41">
      <c r="C20" s="13" t="s">
        <v>26</v>
      </c>
      <c r="D20" s="13" t="str">
        <f>SUM(D13:D19)</f>
        <v>0</v>
      </c>
      <c r="E20" s="13" t="str">
        <f>SUM(E13:E19)</f>
        <v>0</v>
      </c>
      <c r="F20" s="13" t="str">
        <f>SUM(F13:F19)</f>
        <v>0</v>
      </c>
      <c r="G20" s="13" t="str">
        <f>SUM(G13:G19)</f>
        <v>0</v>
      </c>
      <c r="H20" s="13" t="str">
        <f>SUM(H13:H19)</f>
        <v>0</v>
      </c>
      <c r="I20" s="13" t="str">
        <f>SUM(I13:I19)</f>
        <v>0</v>
      </c>
      <c r="J20" s="13" t="str">
        <f>SUM(J13:J19)</f>
        <v>0</v>
      </c>
      <c r="K20" s="13" t="str">
        <f>SUM(K13:K19)</f>
        <v>0</v>
      </c>
      <c r="L20" s="13" t="str">
        <f>SUM(L13:L19)</f>
        <v>0</v>
      </c>
      <c r="M20" s="13" t="str">
        <f>SUM(M13:M19)</f>
        <v>0</v>
      </c>
      <c r="N20" s="13" t="str">
        <f>SUM(N13:N19)</f>
        <v>0</v>
      </c>
      <c r="O20" s="13" t="str">
        <f>SUM(O13:O19)</f>
        <v>0</v>
      </c>
      <c r="P20" s="13" t="str">
        <f>SUM(P13:P19)</f>
        <v>0</v>
      </c>
      <c r="Q20" s="13" t="str">
        <f>SUM(Q13:Q19)</f>
        <v>0</v>
      </c>
      <c r="R20" s="13" t="str">
        <f>SUM(R13:R19)</f>
        <v>0</v>
      </c>
      <c r="S20" s="13" t="str">
        <f>SUM(S13:S19)</f>
        <v>0</v>
      </c>
      <c r="T20" s="13" t="str">
        <f>SUM(T13:T19)</f>
        <v>0</v>
      </c>
      <c r="U20" s="13" t="str">
        <f>SUM(U13:U19)</f>
        <v>0</v>
      </c>
      <c r="W20" s="16" t="s">
        <v>30</v>
      </c>
      <c r="X20" s="19">
        <v>589</v>
      </c>
      <c r="Y20" s="19">
        <v>9397</v>
      </c>
      <c r="Z20" s="19">
        <v>5396</v>
      </c>
      <c r="AA20" s="14">
        <v>283</v>
      </c>
      <c r="AB20" s="14">
        <v>5818</v>
      </c>
      <c r="AC20" s="14">
        <v>4150</v>
      </c>
      <c r="AD20" s="19">
        <v>581.41</v>
      </c>
      <c r="AE20" s="19">
        <v>9704.37</v>
      </c>
      <c r="AF20" s="19">
        <v>5571.95</v>
      </c>
      <c r="AG20" s="14">
        <v>275.75</v>
      </c>
      <c r="AH20" s="14">
        <v>5392.13</v>
      </c>
      <c r="AI20" s="14">
        <v>3825.64</v>
      </c>
      <c r="AJ20" s="19">
        <v>1257</v>
      </c>
      <c r="AK20" s="19">
        <v>21512</v>
      </c>
      <c r="AL20" s="19">
        <v>12434</v>
      </c>
      <c r="AM20" s="14">
        <v>607</v>
      </c>
      <c r="AN20" s="14">
        <v>12189</v>
      </c>
      <c r="AO20" s="14">
        <v>8737</v>
      </c>
    </row>
    <row r="21" spans="1:41">
      <c r="A21"/>
      <c r="B21" s="14" t="s">
        <v>31</v>
      </c>
      <c r="C21" s="12" t="s">
        <v>30</v>
      </c>
      <c r="D21" s="5">
        <v>0</v>
      </c>
      <c r="E21" s="6">
        <v>7</v>
      </c>
      <c r="F21" s="7">
        <v>0</v>
      </c>
      <c r="G21" s="9">
        <v>0</v>
      </c>
      <c r="H21" s="10">
        <v>1</v>
      </c>
      <c r="I21" s="11">
        <v>2</v>
      </c>
      <c r="J21" s="5">
        <v>0</v>
      </c>
      <c r="K21" s="6">
        <v>7.25</v>
      </c>
      <c r="L21" s="7">
        <v>0</v>
      </c>
      <c r="M21" s="9">
        <v>0</v>
      </c>
      <c r="N21" s="10">
        <v>0.75</v>
      </c>
      <c r="O21" s="11">
        <v>0.71</v>
      </c>
      <c r="P21" s="5">
        <v>0</v>
      </c>
      <c r="Q21" s="6">
        <v>15</v>
      </c>
      <c r="R21" s="7">
        <v>0</v>
      </c>
      <c r="S21" s="9">
        <v>0</v>
      </c>
      <c r="T21" s="10">
        <v>2</v>
      </c>
      <c r="U21" s="11">
        <v>2</v>
      </c>
      <c r="W21" s="16" t="s">
        <v>32</v>
      </c>
      <c r="X21" s="19">
        <v>103</v>
      </c>
      <c r="Y21" s="19">
        <v>2462</v>
      </c>
      <c r="Z21" s="19">
        <v>1491</v>
      </c>
      <c r="AA21" s="14">
        <v>42</v>
      </c>
      <c r="AB21" s="14">
        <v>1141</v>
      </c>
      <c r="AC21" s="14">
        <v>750</v>
      </c>
      <c r="AD21" s="19">
        <v>83.41</v>
      </c>
      <c r="AE21" s="19">
        <v>2485.05</v>
      </c>
      <c r="AF21" s="19">
        <v>1540.31</v>
      </c>
      <c r="AG21" s="14">
        <v>35.06</v>
      </c>
      <c r="AH21" s="14">
        <v>1077.65</v>
      </c>
      <c r="AI21" s="14">
        <v>729.43</v>
      </c>
      <c r="AJ21" s="19">
        <v>195</v>
      </c>
      <c r="AK21" s="19">
        <v>5502</v>
      </c>
      <c r="AL21" s="19">
        <v>3429</v>
      </c>
      <c r="AM21" s="14">
        <v>79</v>
      </c>
      <c r="AN21" s="14">
        <v>2403</v>
      </c>
      <c r="AO21" s="14">
        <v>1617</v>
      </c>
    </row>
    <row r="22" spans="1:41">
      <c r="A22"/>
      <c r="B22"/>
      <c r="C22" s="12" t="s">
        <v>16</v>
      </c>
      <c r="D22" s="5">
        <v>16</v>
      </c>
      <c r="E22" s="6">
        <v>375</v>
      </c>
      <c r="F22" s="7">
        <v>214</v>
      </c>
      <c r="G22" s="9">
        <v>4</v>
      </c>
      <c r="H22" s="10">
        <v>160</v>
      </c>
      <c r="I22" s="11">
        <v>100</v>
      </c>
      <c r="J22" s="5">
        <v>9.1</v>
      </c>
      <c r="K22" s="6">
        <v>205.28</v>
      </c>
      <c r="L22" s="7">
        <v>130.16</v>
      </c>
      <c r="M22" s="9">
        <v>1.83</v>
      </c>
      <c r="N22" s="10">
        <v>75.55</v>
      </c>
      <c r="O22" s="11">
        <v>55.09</v>
      </c>
      <c r="P22" s="5">
        <v>22</v>
      </c>
      <c r="Q22" s="6">
        <v>528</v>
      </c>
      <c r="R22" s="7">
        <v>322</v>
      </c>
      <c r="S22" s="9">
        <v>5</v>
      </c>
      <c r="T22" s="10">
        <v>199</v>
      </c>
      <c r="U22" s="11">
        <v>135</v>
      </c>
      <c r="W22" s="16" t="s">
        <v>33</v>
      </c>
      <c r="X22" s="19">
        <v>0</v>
      </c>
      <c r="Y22" s="19">
        <v>12</v>
      </c>
      <c r="Z22" s="19">
        <v>11</v>
      </c>
      <c r="AA22" s="14">
        <v>1</v>
      </c>
      <c r="AB22" s="14">
        <v>11</v>
      </c>
      <c r="AC22" s="14">
        <v>6</v>
      </c>
      <c r="AD22" s="19">
        <v>0</v>
      </c>
      <c r="AE22" s="19">
        <v>10.65</v>
      </c>
      <c r="AF22" s="19">
        <v>9.55</v>
      </c>
      <c r="AG22" s="14">
        <v>0.3</v>
      </c>
      <c r="AH22" s="14">
        <v>8.6</v>
      </c>
      <c r="AI22" s="14">
        <v>2.45</v>
      </c>
      <c r="AJ22" s="19">
        <v>0</v>
      </c>
      <c r="AK22" s="19">
        <v>23</v>
      </c>
      <c r="AL22" s="19">
        <v>21</v>
      </c>
      <c r="AM22" s="14">
        <v>1</v>
      </c>
      <c r="AN22" s="14">
        <v>18</v>
      </c>
      <c r="AO22" s="14">
        <v>6</v>
      </c>
    </row>
    <row r="23" spans="1:41">
      <c r="A23"/>
      <c r="B23"/>
      <c r="C23" s="12" t="s">
        <v>17</v>
      </c>
      <c r="D23" s="5">
        <v>20</v>
      </c>
      <c r="E23" s="6">
        <v>358</v>
      </c>
      <c r="F23" s="7">
        <v>283</v>
      </c>
      <c r="G23" s="9">
        <v>2</v>
      </c>
      <c r="H23" s="10">
        <v>117</v>
      </c>
      <c r="I23" s="11">
        <v>137</v>
      </c>
      <c r="J23" s="5">
        <v>12</v>
      </c>
      <c r="K23" s="6">
        <v>257.48</v>
      </c>
      <c r="L23" s="7">
        <v>238.34</v>
      </c>
      <c r="M23" s="9">
        <v>1.05</v>
      </c>
      <c r="N23" s="10">
        <v>74.98</v>
      </c>
      <c r="O23" s="11">
        <v>95.61</v>
      </c>
      <c r="P23" s="5">
        <v>29</v>
      </c>
      <c r="Q23" s="6">
        <v>605</v>
      </c>
      <c r="R23" s="7">
        <v>550</v>
      </c>
      <c r="S23" s="9">
        <v>3</v>
      </c>
      <c r="T23" s="10">
        <v>181</v>
      </c>
      <c r="U23" s="11">
        <v>224</v>
      </c>
      <c r="W23" s="16" t="s">
        <v>34</v>
      </c>
      <c r="X23" s="19">
        <v>337</v>
      </c>
      <c r="Y23" s="19">
        <v>7418</v>
      </c>
      <c r="Z23" s="19">
        <v>5824</v>
      </c>
      <c r="AA23" s="14">
        <v>119</v>
      </c>
      <c r="AB23" s="14">
        <v>3165</v>
      </c>
      <c r="AC23" s="14">
        <v>2701</v>
      </c>
      <c r="AD23" s="19">
        <v>377.54</v>
      </c>
      <c r="AE23" s="19">
        <v>8625.14</v>
      </c>
      <c r="AF23" s="19">
        <v>7216.43</v>
      </c>
      <c r="AG23" s="14">
        <v>124.06</v>
      </c>
      <c r="AH23" s="14">
        <v>3452.79</v>
      </c>
      <c r="AI23" s="14">
        <v>2997.44</v>
      </c>
      <c r="AJ23" s="19">
        <v>821</v>
      </c>
      <c r="AK23" s="19">
        <v>18824</v>
      </c>
      <c r="AL23" s="19">
        <v>15739</v>
      </c>
      <c r="AM23" s="14">
        <v>279</v>
      </c>
      <c r="AN23" s="14">
        <v>7638</v>
      </c>
      <c r="AO23" s="14">
        <v>6642</v>
      </c>
    </row>
    <row r="24" spans="1:41">
      <c r="A24"/>
      <c r="B24"/>
      <c r="C24" s="12" t="s">
        <v>18</v>
      </c>
      <c r="D24" s="5">
        <v>0</v>
      </c>
      <c r="E24" s="6">
        <v>43</v>
      </c>
      <c r="F24" s="7">
        <v>24</v>
      </c>
      <c r="G24" s="9">
        <v>1</v>
      </c>
      <c r="H24" s="10">
        <v>4</v>
      </c>
      <c r="I24" s="11">
        <v>5</v>
      </c>
      <c r="J24" s="5">
        <v>0</v>
      </c>
      <c r="K24" s="6">
        <v>14.24</v>
      </c>
      <c r="L24" s="7">
        <v>9.05</v>
      </c>
      <c r="M24" s="9">
        <v>1</v>
      </c>
      <c r="N24" s="10">
        <v>1.77</v>
      </c>
      <c r="O24" s="11">
        <v>1.7</v>
      </c>
      <c r="P24" s="5">
        <v>0</v>
      </c>
      <c r="Q24" s="6">
        <v>43</v>
      </c>
      <c r="R24" s="7">
        <v>24</v>
      </c>
      <c r="S24" s="9">
        <v>2</v>
      </c>
      <c r="T24" s="10">
        <v>5</v>
      </c>
      <c r="U24" s="11">
        <v>5</v>
      </c>
      <c r="W24" s="16" t="s">
        <v>35</v>
      </c>
      <c r="X24" s="19">
        <v>472</v>
      </c>
      <c r="Y24" s="19">
        <v>7018</v>
      </c>
      <c r="Z24" s="19">
        <v>4100</v>
      </c>
      <c r="AA24" s="14">
        <v>212</v>
      </c>
      <c r="AB24" s="14">
        <v>4315</v>
      </c>
      <c r="AC24" s="14">
        <v>2679</v>
      </c>
      <c r="AD24" s="19">
        <v>471.45</v>
      </c>
      <c r="AE24" s="19">
        <v>7411.93</v>
      </c>
      <c r="AF24" s="19">
        <v>4396.88</v>
      </c>
      <c r="AG24" s="14">
        <v>177.18</v>
      </c>
      <c r="AH24" s="14">
        <v>3952.03</v>
      </c>
      <c r="AI24" s="14">
        <v>2542.33</v>
      </c>
      <c r="AJ24" s="19">
        <v>1030</v>
      </c>
      <c r="AK24" s="19">
        <v>16347</v>
      </c>
      <c r="AL24" s="19">
        <v>9744</v>
      </c>
      <c r="AM24" s="14">
        <v>404</v>
      </c>
      <c r="AN24" s="14">
        <v>8913</v>
      </c>
      <c r="AO24" s="14">
        <v>5728</v>
      </c>
    </row>
    <row r="25" spans="1:41">
      <c r="A25"/>
      <c r="B25"/>
      <c r="C25" s="12" t="s">
        <v>20</v>
      </c>
      <c r="D25" s="5">
        <v>104</v>
      </c>
      <c r="E25" s="6">
        <v>2115</v>
      </c>
      <c r="F25" s="7">
        <v>1163</v>
      </c>
      <c r="G25" s="9">
        <v>24</v>
      </c>
      <c r="H25" s="10">
        <v>764</v>
      </c>
      <c r="I25" s="11">
        <v>546</v>
      </c>
      <c r="J25" s="5">
        <v>48.73</v>
      </c>
      <c r="K25" s="6">
        <v>1210.02</v>
      </c>
      <c r="L25" s="7">
        <v>715.63</v>
      </c>
      <c r="M25" s="9">
        <v>11.3</v>
      </c>
      <c r="N25" s="10">
        <v>385.12</v>
      </c>
      <c r="O25" s="11">
        <v>307.47</v>
      </c>
      <c r="P25" s="5">
        <v>132</v>
      </c>
      <c r="Q25" s="6">
        <v>3007</v>
      </c>
      <c r="R25" s="7">
        <v>1762</v>
      </c>
      <c r="S25" s="9">
        <v>31</v>
      </c>
      <c r="T25" s="10">
        <v>1008</v>
      </c>
      <c r="U25" s="11">
        <v>783</v>
      </c>
      <c r="W25" s="16" t="s">
        <v>36</v>
      </c>
      <c r="X25" s="19">
        <v>498</v>
      </c>
      <c r="Y25" s="19">
        <v>9214</v>
      </c>
      <c r="Z25" s="19">
        <v>5878</v>
      </c>
      <c r="AA25" s="14">
        <v>248</v>
      </c>
      <c r="AB25" s="14">
        <v>5551</v>
      </c>
      <c r="AC25" s="14">
        <v>4027</v>
      </c>
      <c r="AD25" s="19">
        <v>500.36</v>
      </c>
      <c r="AE25" s="19">
        <v>9617.2</v>
      </c>
      <c r="AF25" s="19">
        <v>6704.66</v>
      </c>
      <c r="AG25" s="14">
        <v>235.09</v>
      </c>
      <c r="AH25" s="14">
        <v>5277.24</v>
      </c>
      <c r="AI25" s="14">
        <v>4017.26</v>
      </c>
      <c r="AJ25" s="19">
        <v>1128</v>
      </c>
      <c r="AK25" s="19">
        <v>21470</v>
      </c>
      <c r="AL25" s="19">
        <v>14784</v>
      </c>
      <c r="AM25" s="14">
        <v>534</v>
      </c>
      <c r="AN25" s="14">
        <v>11966</v>
      </c>
      <c r="AO25" s="14">
        <v>9068</v>
      </c>
    </row>
    <row r="26" spans="1:41">
      <c r="A26"/>
      <c r="B26"/>
      <c r="C26" s="12" t="s">
        <v>32</v>
      </c>
      <c r="D26" s="5">
        <v>8</v>
      </c>
      <c r="E26" s="6">
        <v>224</v>
      </c>
      <c r="F26" s="7">
        <v>97</v>
      </c>
      <c r="G26" s="9">
        <v>6</v>
      </c>
      <c r="H26" s="10">
        <v>94</v>
      </c>
      <c r="I26" s="11">
        <v>56</v>
      </c>
      <c r="J26" s="5">
        <v>3.35</v>
      </c>
      <c r="K26" s="6">
        <v>126.88</v>
      </c>
      <c r="L26" s="7">
        <v>59.58</v>
      </c>
      <c r="M26" s="9">
        <v>1.58</v>
      </c>
      <c r="N26" s="10">
        <v>42.02</v>
      </c>
      <c r="O26" s="11">
        <v>28.23</v>
      </c>
      <c r="P26" s="5">
        <v>9</v>
      </c>
      <c r="Q26" s="6">
        <v>305</v>
      </c>
      <c r="R26" s="7">
        <v>139</v>
      </c>
      <c r="S26" s="9">
        <v>6</v>
      </c>
      <c r="T26" s="10">
        <v>110</v>
      </c>
      <c r="U26" s="11">
        <v>70</v>
      </c>
      <c r="W26" s="16" t="s">
        <v>37</v>
      </c>
      <c r="X26" s="19">
        <v>395</v>
      </c>
      <c r="Y26" s="19">
        <v>7468</v>
      </c>
      <c r="Z26" s="19">
        <v>4423</v>
      </c>
      <c r="AA26" s="14">
        <v>256</v>
      </c>
      <c r="AB26" s="14">
        <v>5899</v>
      </c>
      <c r="AC26" s="14">
        <v>4022</v>
      </c>
      <c r="AD26" s="19">
        <v>397.78</v>
      </c>
      <c r="AE26" s="19">
        <v>7090.27</v>
      </c>
      <c r="AF26" s="19">
        <v>4111.56</v>
      </c>
      <c r="AG26" s="14">
        <v>210.26</v>
      </c>
      <c r="AH26" s="14">
        <v>4748.12</v>
      </c>
      <c r="AI26" s="14">
        <v>3441.78</v>
      </c>
      <c r="AJ26" s="19">
        <v>880</v>
      </c>
      <c r="AK26" s="19">
        <v>15933</v>
      </c>
      <c r="AL26" s="19">
        <v>9267</v>
      </c>
      <c r="AM26" s="14">
        <v>489</v>
      </c>
      <c r="AN26" s="14">
        <v>11034</v>
      </c>
      <c r="AO26" s="14">
        <v>7943</v>
      </c>
    </row>
    <row r="27" spans="1:41">
      <c r="A27"/>
      <c r="B27"/>
      <c r="C27" s="12" t="s">
        <v>23</v>
      </c>
      <c r="D27" s="5">
        <v>13</v>
      </c>
      <c r="E27" s="6">
        <v>294</v>
      </c>
      <c r="F27" s="7">
        <v>192</v>
      </c>
      <c r="G27" s="9">
        <v>3</v>
      </c>
      <c r="H27" s="10">
        <v>101</v>
      </c>
      <c r="I27" s="11">
        <v>83</v>
      </c>
      <c r="J27" s="5">
        <v>6.91</v>
      </c>
      <c r="K27" s="6">
        <v>155.38</v>
      </c>
      <c r="L27" s="7">
        <v>118.8</v>
      </c>
      <c r="M27" s="9">
        <v>2.25</v>
      </c>
      <c r="N27" s="10">
        <v>54.58</v>
      </c>
      <c r="O27" s="11">
        <v>44.18</v>
      </c>
      <c r="P27" s="5">
        <v>16</v>
      </c>
      <c r="Q27" s="6">
        <v>394</v>
      </c>
      <c r="R27" s="7">
        <v>293</v>
      </c>
      <c r="S27" s="9">
        <v>5</v>
      </c>
      <c r="T27" s="10">
        <v>141</v>
      </c>
      <c r="U27" s="11">
        <v>115</v>
      </c>
      <c r="W27" s="16" t="s">
        <v>38</v>
      </c>
      <c r="X27" s="19">
        <v>68</v>
      </c>
      <c r="Y27" s="19">
        <v>1763</v>
      </c>
      <c r="Z27" s="19">
        <v>933</v>
      </c>
      <c r="AA27" s="14">
        <v>58</v>
      </c>
      <c r="AB27" s="14">
        <v>1208</v>
      </c>
      <c r="AC27" s="14">
        <v>895</v>
      </c>
      <c r="AD27" s="19">
        <v>48.25</v>
      </c>
      <c r="AE27" s="19">
        <v>1485.21</v>
      </c>
      <c r="AF27" s="19">
        <v>830.71</v>
      </c>
      <c r="AG27" s="14">
        <v>40.75</v>
      </c>
      <c r="AH27" s="14">
        <v>916.6</v>
      </c>
      <c r="AI27" s="14">
        <v>668.83</v>
      </c>
      <c r="AJ27" s="19">
        <v>121</v>
      </c>
      <c r="AK27" s="19">
        <v>3423</v>
      </c>
      <c r="AL27" s="19">
        <v>1891</v>
      </c>
      <c r="AM27" s="14">
        <v>100</v>
      </c>
      <c r="AN27" s="14">
        <v>2155</v>
      </c>
      <c r="AO27" s="14">
        <v>1570</v>
      </c>
    </row>
    <row r="28" spans="1:41">
      <c r="A28"/>
      <c r="B28"/>
      <c r="C28" s="12" t="s">
        <v>33</v>
      </c>
      <c r="D28" s="5">
        <v>0</v>
      </c>
      <c r="E28" s="6">
        <v>12</v>
      </c>
      <c r="F28" s="7">
        <v>11</v>
      </c>
      <c r="G28" s="9">
        <v>1</v>
      </c>
      <c r="H28" s="10">
        <v>11</v>
      </c>
      <c r="I28" s="11">
        <v>6</v>
      </c>
      <c r="J28" s="5">
        <v>0</v>
      </c>
      <c r="K28" s="6">
        <v>10.65</v>
      </c>
      <c r="L28" s="7">
        <v>9.55</v>
      </c>
      <c r="M28" s="9">
        <v>0.3</v>
      </c>
      <c r="N28" s="10">
        <v>8.6</v>
      </c>
      <c r="O28" s="11">
        <v>2.45</v>
      </c>
      <c r="P28" s="5">
        <v>0</v>
      </c>
      <c r="Q28" s="6">
        <v>23</v>
      </c>
      <c r="R28" s="7">
        <v>21</v>
      </c>
      <c r="S28" s="9">
        <v>1</v>
      </c>
      <c r="T28" s="10">
        <v>18</v>
      </c>
      <c r="U28" s="11">
        <v>6</v>
      </c>
      <c r="W28" s="16" t="s">
        <v>39</v>
      </c>
      <c r="X28" s="19">
        <v>42</v>
      </c>
      <c r="Y28" s="19">
        <v>914</v>
      </c>
      <c r="Z28" s="19">
        <v>612</v>
      </c>
      <c r="AA28" s="14">
        <v>29</v>
      </c>
      <c r="AB28" s="14">
        <v>638</v>
      </c>
      <c r="AC28" s="14">
        <v>495</v>
      </c>
      <c r="AD28" s="19">
        <v>36.59</v>
      </c>
      <c r="AE28" s="19">
        <v>879.61</v>
      </c>
      <c r="AF28" s="19">
        <v>623.97</v>
      </c>
      <c r="AG28" s="14">
        <v>19.76</v>
      </c>
      <c r="AH28" s="14">
        <v>454.24</v>
      </c>
      <c r="AI28" s="14">
        <v>388.79</v>
      </c>
      <c r="AJ28" s="19">
        <v>82</v>
      </c>
      <c r="AK28" s="19">
        <v>1988</v>
      </c>
      <c r="AL28" s="19">
        <v>1408</v>
      </c>
      <c r="AM28" s="14">
        <v>46</v>
      </c>
      <c r="AN28" s="14">
        <v>1083</v>
      </c>
      <c r="AO28" s="14">
        <v>924</v>
      </c>
    </row>
    <row r="29" spans="1:41">
      <c r="C29" s="13" t="s">
        <v>26</v>
      </c>
      <c r="D29" s="13" t="str">
        <f>SUM(D21:D28)</f>
        <v>0</v>
      </c>
      <c r="E29" s="13" t="str">
        <f>SUM(E21:E28)</f>
        <v>0</v>
      </c>
      <c r="F29" s="13" t="str">
        <f>SUM(F21:F28)</f>
        <v>0</v>
      </c>
      <c r="G29" s="13" t="str">
        <f>SUM(G21:G28)</f>
        <v>0</v>
      </c>
      <c r="H29" s="13" t="str">
        <f>SUM(H21:H28)</f>
        <v>0</v>
      </c>
      <c r="I29" s="13" t="str">
        <f>SUM(I21:I28)</f>
        <v>0</v>
      </c>
      <c r="J29" s="13" t="str">
        <f>SUM(J21:J28)</f>
        <v>0</v>
      </c>
      <c r="K29" s="13" t="str">
        <f>SUM(K21:K28)</f>
        <v>0</v>
      </c>
      <c r="L29" s="13" t="str">
        <f>SUM(L21:L28)</f>
        <v>0</v>
      </c>
      <c r="M29" s="13" t="str">
        <f>SUM(M21:M28)</f>
        <v>0</v>
      </c>
      <c r="N29" s="13" t="str">
        <f>SUM(N21:N28)</f>
        <v>0</v>
      </c>
      <c r="O29" s="13" t="str">
        <f>SUM(O21:O28)</f>
        <v>0</v>
      </c>
      <c r="P29" s="13" t="str">
        <f>SUM(P21:P28)</f>
        <v>0</v>
      </c>
      <c r="Q29" s="13" t="str">
        <f>SUM(Q21:Q28)</f>
        <v>0</v>
      </c>
      <c r="R29" s="13" t="str">
        <f>SUM(R21:R28)</f>
        <v>0</v>
      </c>
      <c r="S29" s="13" t="str">
        <f>SUM(S21:S28)</f>
        <v>0</v>
      </c>
      <c r="T29" s="13" t="str">
        <f>SUM(T21:T28)</f>
        <v>0</v>
      </c>
      <c r="U29" s="13" t="str">
        <f>SUM(U21:U28)</f>
        <v>0</v>
      </c>
      <c r="W29" s="16" t="s">
        <v>40</v>
      </c>
      <c r="X29" s="19">
        <v>0</v>
      </c>
      <c r="Y29" s="19">
        <v>0</v>
      </c>
      <c r="Z29" s="19">
        <v>0</v>
      </c>
      <c r="AA29" s="14">
        <v>0</v>
      </c>
      <c r="AB29" s="14">
        <v>0</v>
      </c>
      <c r="AC29" s="14">
        <v>0</v>
      </c>
      <c r="AD29" s="19">
        <v>0</v>
      </c>
      <c r="AE29" s="19">
        <v>0</v>
      </c>
      <c r="AF29" s="19">
        <v>0</v>
      </c>
      <c r="AG29" s="14">
        <v>0</v>
      </c>
      <c r="AH29" s="14">
        <v>0</v>
      </c>
      <c r="AI29" s="14">
        <v>0</v>
      </c>
      <c r="AJ29" s="19">
        <v>0</v>
      </c>
      <c r="AK29" s="19">
        <v>0</v>
      </c>
      <c r="AL29" s="19">
        <v>0</v>
      </c>
      <c r="AM29" s="14">
        <v>0</v>
      </c>
      <c r="AN29" s="14">
        <v>0</v>
      </c>
      <c r="AO29" s="14">
        <v>0</v>
      </c>
    </row>
    <row r="30" spans="1:41">
      <c r="A30"/>
      <c r="B30" s="14" t="s">
        <v>41</v>
      </c>
      <c r="C30" s="12" t="s">
        <v>16</v>
      </c>
      <c r="D30" s="5">
        <v>37</v>
      </c>
      <c r="E30" s="6">
        <v>846</v>
      </c>
      <c r="F30" s="7">
        <v>548</v>
      </c>
      <c r="G30" s="9">
        <v>8</v>
      </c>
      <c r="H30" s="10">
        <v>310</v>
      </c>
      <c r="I30" s="11">
        <v>236</v>
      </c>
      <c r="J30" s="5">
        <v>27.75</v>
      </c>
      <c r="K30" s="6">
        <v>755.07</v>
      </c>
      <c r="L30" s="7">
        <v>497.92</v>
      </c>
      <c r="M30" s="9">
        <v>8.28</v>
      </c>
      <c r="N30" s="10">
        <v>275.11</v>
      </c>
      <c r="O30" s="11">
        <v>198.47</v>
      </c>
      <c r="P30" s="5">
        <v>63</v>
      </c>
      <c r="Q30" s="6">
        <v>1690</v>
      </c>
      <c r="R30" s="7">
        <v>1117</v>
      </c>
      <c r="S30" s="9">
        <v>18</v>
      </c>
      <c r="T30" s="10">
        <v>611</v>
      </c>
      <c r="U30" s="11">
        <v>451</v>
      </c>
      <c r="W30" s="16" t="s">
        <v>42</v>
      </c>
      <c r="X30" s="19">
        <v>18</v>
      </c>
      <c r="Y30" s="19">
        <v>227</v>
      </c>
      <c r="Z30" s="19">
        <v>151</v>
      </c>
      <c r="AA30" s="14">
        <v>11</v>
      </c>
      <c r="AB30" s="14">
        <v>197</v>
      </c>
      <c r="AC30" s="14">
        <v>142</v>
      </c>
      <c r="AD30" s="19">
        <v>10.38</v>
      </c>
      <c r="AE30" s="19">
        <v>195.05</v>
      </c>
      <c r="AF30" s="19">
        <v>130.24</v>
      </c>
      <c r="AG30" s="14">
        <v>5.86</v>
      </c>
      <c r="AH30" s="14">
        <v>129.08</v>
      </c>
      <c r="AI30" s="14">
        <v>96.02</v>
      </c>
      <c r="AJ30" s="19">
        <v>26</v>
      </c>
      <c r="AK30" s="19">
        <v>450</v>
      </c>
      <c r="AL30" s="19">
        <v>301</v>
      </c>
      <c r="AM30" s="14">
        <v>16</v>
      </c>
      <c r="AN30" s="14">
        <v>319</v>
      </c>
      <c r="AO30" s="14">
        <v>238</v>
      </c>
    </row>
    <row r="31" spans="1:41">
      <c r="A31"/>
      <c r="B31"/>
      <c r="C31" s="12" t="s">
        <v>17</v>
      </c>
      <c r="D31" s="5">
        <v>62</v>
      </c>
      <c r="E31" s="6">
        <v>1567</v>
      </c>
      <c r="F31" s="7">
        <v>1038</v>
      </c>
      <c r="G31" s="9">
        <v>19</v>
      </c>
      <c r="H31" s="10">
        <v>599</v>
      </c>
      <c r="I31" s="11">
        <v>504</v>
      </c>
      <c r="J31" s="5">
        <v>54.7</v>
      </c>
      <c r="K31" s="6">
        <v>1476.58</v>
      </c>
      <c r="L31" s="7">
        <v>993.86</v>
      </c>
      <c r="M31" s="9">
        <v>16.49</v>
      </c>
      <c r="N31" s="10">
        <v>527.45</v>
      </c>
      <c r="O31" s="11">
        <v>432.34</v>
      </c>
      <c r="P31" s="5">
        <v>121</v>
      </c>
      <c r="Q31" s="6">
        <v>3290</v>
      </c>
      <c r="R31" s="7">
        <v>2222</v>
      </c>
      <c r="S31" s="9">
        <v>36</v>
      </c>
      <c r="T31" s="10">
        <v>1181</v>
      </c>
      <c r="U31" s="11">
        <v>970</v>
      </c>
      <c r="W31" s="16" t="s">
        <v>43</v>
      </c>
      <c r="X31" s="19">
        <v>2068</v>
      </c>
      <c r="Y31" s="19">
        <v>15008</v>
      </c>
      <c r="Z31" s="19">
        <v>5003</v>
      </c>
      <c r="AA31" s="14">
        <v>425</v>
      </c>
      <c r="AB31" s="14">
        <v>5921</v>
      </c>
      <c r="AC31" s="14">
        <v>3404</v>
      </c>
      <c r="AD31" s="19">
        <v>2110.16</v>
      </c>
      <c r="AE31" s="19">
        <v>18209.28</v>
      </c>
      <c r="AF31" s="19">
        <v>6631.59</v>
      </c>
      <c r="AG31" s="14">
        <v>427.81</v>
      </c>
      <c r="AH31" s="14">
        <v>6672.42</v>
      </c>
      <c r="AI31" s="14">
        <v>4059.94</v>
      </c>
      <c r="AJ31" s="19">
        <v>4838</v>
      </c>
      <c r="AK31" s="19">
        <v>39786</v>
      </c>
      <c r="AL31" s="19">
        <v>14212</v>
      </c>
      <c r="AM31" s="14">
        <v>928</v>
      </c>
      <c r="AN31" s="14">
        <v>14459</v>
      </c>
      <c r="AO31" s="14">
        <v>8702</v>
      </c>
    </row>
    <row r="32" spans="1:41">
      <c r="A32"/>
      <c r="B32"/>
      <c r="C32" s="12" t="s">
        <v>18</v>
      </c>
      <c r="D32" s="5">
        <v>33</v>
      </c>
      <c r="E32" s="6">
        <v>901</v>
      </c>
      <c r="F32" s="7">
        <v>561</v>
      </c>
      <c r="G32" s="9">
        <v>13</v>
      </c>
      <c r="H32" s="10">
        <v>368</v>
      </c>
      <c r="I32" s="11">
        <v>319</v>
      </c>
      <c r="J32" s="5">
        <v>27.6</v>
      </c>
      <c r="K32" s="6">
        <v>769.82</v>
      </c>
      <c r="L32" s="7">
        <v>523.7</v>
      </c>
      <c r="M32" s="9">
        <v>12.75</v>
      </c>
      <c r="N32" s="10">
        <v>298.88</v>
      </c>
      <c r="O32" s="11">
        <v>264.41</v>
      </c>
      <c r="P32" s="5">
        <v>64</v>
      </c>
      <c r="Q32" s="6">
        <v>1746</v>
      </c>
      <c r="R32" s="7">
        <v>1172</v>
      </c>
      <c r="S32" s="9">
        <v>27</v>
      </c>
      <c r="T32" s="10">
        <v>667</v>
      </c>
      <c r="U32" s="11">
        <v>601</v>
      </c>
      <c r="W32" s="16" t="s">
        <v>44</v>
      </c>
      <c r="X32" s="19">
        <v>48</v>
      </c>
      <c r="Y32" s="19">
        <v>739</v>
      </c>
      <c r="Z32" s="19">
        <v>325</v>
      </c>
      <c r="AA32" s="14">
        <v>24</v>
      </c>
      <c r="AB32" s="14">
        <v>357</v>
      </c>
      <c r="AC32" s="14">
        <v>238</v>
      </c>
      <c r="AD32" s="19">
        <v>60.08</v>
      </c>
      <c r="AE32" s="19">
        <v>976.33</v>
      </c>
      <c r="AF32" s="19">
        <v>414.48</v>
      </c>
      <c r="AG32" s="14">
        <v>31.24</v>
      </c>
      <c r="AH32" s="14">
        <v>440.54</v>
      </c>
      <c r="AI32" s="14">
        <v>304.95</v>
      </c>
      <c r="AJ32" s="19">
        <v>132</v>
      </c>
      <c r="AK32" s="19">
        <v>2105</v>
      </c>
      <c r="AL32" s="19">
        <v>904</v>
      </c>
      <c r="AM32" s="14">
        <v>67</v>
      </c>
      <c r="AN32" s="14">
        <v>937</v>
      </c>
      <c r="AO32" s="14">
        <v>658</v>
      </c>
    </row>
    <row r="33" spans="1:41">
      <c r="A33"/>
      <c r="B33"/>
      <c r="C33" s="12" t="s">
        <v>20</v>
      </c>
      <c r="D33" s="5">
        <v>277</v>
      </c>
      <c r="E33" s="6">
        <v>6941</v>
      </c>
      <c r="F33" s="7">
        <v>3894</v>
      </c>
      <c r="G33" s="9">
        <v>85</v>
      </c>
      <c r="H33" s="10">
        <v>2312</v>
      </c>
      <c r="I33" s="11">
        <v>1698</v>
      </c>
      <c r="J33" s="5">
        <v>253.37</v>
      </c>
      <c r="K33" s="6">
        <v>6849.32</v>
      </c>
      <c r="L33" s="7">
        <v>3924.23</v>
      </c>
      <c r="M33" s="9">
        <v>87.73</v>
      </c>
      <c r="N33" s="10">
        <v>2122.6</v>
      </c>
      <c r="O33" s="11">
        <v>1533.65</v>
      </c>
      <c r="P33" s="5">
        <v>568</v>
      </c>
      <c r="Q33" s="6">
        <v>15134</v>
      </c>
      <c r="R33" s="7">
        <v>8705</v>
      </c>
      <c r="S33" s="9">
        <v>194</v>
      </c>
      <c r="T33" s="10">
        <v>4726</v>
      </c>
      <c r="U33" s="11">
        <v>3459</v>
      </c>
      <c r="W33" s="16" t="s">
        <v>45</v>
      </c>
      <c r="X33" s="19">
        <v>1</v>
      </c>
      <c r="Y33" s="19">
        <v>63</v>
      </c>
      <c r="Z33" s="19">
        <v>51</v>
      </c>
      <c r="AA33" s="14">
        <v>1</v>
      </c>
      <c r="AB33" s="14">
        <v>45</v>
      </c>
      <c r="AC33" s="14">
        <v>30</v>
      </c>
      <c r="AD33" s="19">
        <v>0.25</v>
      </c>
      <c r="AE33" s="19">
        <v>52.21</v>
      </c>
      <c r="AF33" s="19">
        <v>43.58</v>
      </c>
      <c r="AG33" s="14">
        <v>0.5</v>
      </c>
      <c r="AH33" s="14">
        <v>32.08</v>
      </c>
      <c r="AI33" s="14">
        <v>18.23</v>
      </c>
      <c r="AJ33" s="19">
        <v>1</v>
      </c>
      <c r="AK33" s="19">
        <v>120</v>
      </c>
      <c r="AL33" s="19">
        <v>99</v>
      </c>
      <c r="AM33" s="14">
        <v>1</v>
      </c>
      <c r="AN33" s="14">
        <v>72</v>
      </c>
      <c r="AO33" s="14">
        <v>44</v>
      </c>
    </row>
    <row r="34" spans="1:41">
      <c r="A34"/>
      <c r="B34"/>
      <c r="C34" s="12" t="s">
        <v>32</v>
      </c>
      <c r="D34" s="5">
        <v>60</v>
      </c>
      <c r="E34" s="6">
        <v>1294</v>
      </c>
      <c r="F34" s="7">
        <v>756</v>
      </c>
      <c r="G34" s="9">
        <v>19</v>
      </c>
      <c r="H34" s="10">
        <v>354</v>
      </c>
      <c r="I34" s="11">
        <v>269</v>
      </c>
      <c r="J34" s="5">
        <v>47.78</v>
      </c>
      <c r="K34" s="6">
        <v>1305.51</v>
      </c>
      <c r="L34" s="7">
        <v>815.43</v>
      </c>
      <c r="M34" s="9">
        <v>16.45</v>
      </c>
      <c r="N34" s="10">
        <v>328.19</v>
      </c>
      <c r="O34" s="11">
        <v>250.69</v>
      </c>
      <c r="P34" s="5">
        <v>112</v>
      </c>
      <c r="Q34" s="6">
        <v>2910</v>
      </c>
      <c r="R34" s="7">
        <v>1817</v>
      </c>
      <c r="S34" s="9">
        <v>35</v>
      </c>
      <c r="T34" s="10">
        <v>738</v>
      </c>
      <c r="U34" s="11">
        <v>571</v>
      </c>
      <c r="W34" s="16" t="s">
        <v>46</v>
      </c>
      <c r="X34" s="19">
        <v>0</v>
      </c>
      <c r="Y34" s="19">
        <v>0</v>
      </c>
      <c r="Z34" s="19">
        <v>0</v>
      </c>
      <c r="AA34" s="14">
        <v>0</v>
      </c>
      <c r="AB34" s="14">
        <v>0</v>
      </c>
      <c r="AC34" s="14">
        <v>0</v>
      </c>
      <c r="AD34" s="19">
        <v>0</v>
      </c>
      <c r="AE34" s="19">
        <v>0</v>
      </c>
      <c r="AF34" s="19">
        <v>0</v>
      </c>
      <c r="AG34" s="14">
        <v>0</v>
      </c>
      <c r="AH34" s="14">
        <v>0</v>
      </c>
      <c r="AI34" s="14">
        <v>0</v>
      </c>
      <c r="AJ34" s="19">
        <v>0</v>
      </c>
      <c r="AK34" s="19">
        <v>0</v>
      </c>
      <c r="AL34" s="19">
        <v>0</v>
      </c>
      <c r="AM34" s="14">
        <v>0</v>
      </c>
      <c r="AN34" s="14">
        <v>0</v>
      </c>
      <c r="AO34" s="14">
        <v>0</v>
      </c>
    </row>
    <row r="35" spans="1:41">
      <c r="A35"/>
      <c r="B35"/>
      <c r="C35" s="12" t="s">
        <v>22</v>
      </c>
      <c r="D35" s="5">
        <v>0</v>
      </c>
      <c r="E35" s="6">
        <v>9</v>
      </c>
      <c r="F35" s="7">
        <v>6</v>
      </c>
      <c r="G35" s="9">
        <v>0</v>
      </c>
      <c r="H35" s="10">
        <v>7</v>
      </c>
      <c r="I35" s="11">
        <v>6</v>
      </c>
      <c r="J35" s="5">
        <v>0</v>
      </c>
      <c r="K35" s="6">
        <v>8.8</v>
      </c>
      <c r="L35" s="7">
        <v>4.69</v>
      </c>
      <c r="M35" s="9">
        <v>0</v>
      </c>
      <c r="N35" s="10">
        <v>5.9</v>
      </c>
      <c r="O35" s="11">
        <v>5.55</v>
      </c>
      <c r="P35" s="5">
        <v>0</v>
      </c>
      <c r="Q35" s="6">
        <v>18</v>
      </c>
      <c r="R35" s="7">
        <v>12</v>
      </c>
      <c r="S35" s="9">
        <v>0</v>
      </c>
      <c r="T35" s="10">
        <v>14</v>
      </c>
      <c r="U35" s="11">
        <v>12</v>
      </c>
      <c r="W35" s="16" t="s">
        <v>47</v>
      </c>
      <c r="X35" s="19">
        <v>4</v>
      </c>
      <c r="Y35" s="19">
        <v>54</v>
      </c>
      <c r="Z35" s="19">
        <v>20</v>
      </c>
      <c r="AA35" s="14">
        <v>0</v>
      </c>
      <c r="AB35" s="14">
        <v>16</v>
      </c>
      <c r="AC35" s="14">
        <v>14</v>
      </c>
      <c r="AD35" s="19">
        <v>5</v>
      </c>
      <c r="AE35" s="19">
        <v>77.51</v>
      </c>
      <c r="AF35" s="19">
        <v>28.91</v>
      </c>
      <c r="AG35" s="14">
        <v>0</v>
      </c>
      <c r="AH35" s="14">
        <v>16.87</v>
      </c>
      <c r="AI35" s="14">
        <v>17.4</v>
      </c>
      <c r="AJ35" s="19">
        <v>10</v>
      </c>
      <c r="AK35" s="19">
        <v>159</v>
      </c>
      <c r="AL35" s="19">
        <v>59</v>
      </c>
      <c r="AM35" s="14">
        <v>0</v>
      </c>
      <c r="AN35" s="14">
        <v>36</v>
      </c>
      <c r="AO35" s="14">
        <v>36</v>
      </c>
    </row>
    <row r="36" spans="1:41">
      <c r="A36"/>
      <c r="B36"/>
      <c r="C36" s="12" t="s">
        <v>23</v>
      </c>
      <c r="D36" s="5">
        <v>59</v>
      </c>
      <c r="E36" s="6">
        <v>1722</v>
      </c>
      <c r="F36" s="7">
        <v>1072</v>
      </c>
      <c r="G36" s="9">
        <v>17</v>
      </c>
      <c r="H36" s="10">
        <v>572</v>
      </c>
      <c r="I36" s="11">
        <v>446</v>
      </c>
      <c r="J36" s="5">
        <v>47.75</v>
      </c>
      <c r="K36" s="6">
        <v>1671.13</v>
      </c>
      <c r="L36" s="7">
        <v>1074.64</v>
      </c>
      <c r="M36" s="9">
        <v>16.6</v>
      </c>
      <c r="N36" s="10">
        <v>519.87</v>
      </c>
      <c r="O36" s="11">
        <v>421.87</v>
      </c>
      <c r="P36" s="5">
        <v>106</v>
      </c>
      <c r="Q36" s="6">
        <v>3712</v>
      </c>
      <c r="R36" s="7">
        <v>2396</v>
      </c>
      <c r="S36" s="9">
        <v>36</v>
      </c>
      <c r="T36" s="10">
        <v>1155</v>
      </c>
      <c r="U36" s="11">
        <v>925</v>
      </c>
      <c r="W36" s="16" t="s">
        <v>48</v>
      </c>
      <c r="X36" s="19">
        <v>1</v>
      </c>
      <c r="Y36" s="19">
        <v>1</v>
      </c>
      <c r="Z36" s="19">
        <v>1</v>
      </c>
      <c r="AA36" s="14">
        <v>0</v>
      </c>
      <c r="AB36" s="14">
        <v>1</v>
      </c>
      <c r="AC36" s="14">
        <v>0</v>
      </c>
      <c r="AD36" s="19">
        <v>1.8</v>
      </c>
      <c r="AE36" s="19">
        <v>0.97</v>
      </c>
      <c r="AF36" s="19">
        <v>0.5</v>
      </c>
      <c r="AG36" s="14">
        <v>0</v>
      </c>
      <c r="AH36" s="14">
        <v>0.5</v>
      </c>
      <c r="AI36" s="14">
        <v>0</v>
      </c>
      <c r="AJ36" s="19">
        <v>4</v>
      </c>
      <c r="AK36" s="19">
        <v>2</v>
      </c>
      <c r="AL36" s="19">
        <v>1</v>
      </c>
      <c r="AM36" s="14">
        <v>0</v>
      </c>
      <c r="AN36" s="14">
        <v>1</v>
      </c>
      <c r="AO36" s="14">
        <v>0</v>
      </c>
    </row>
    <row r="37" spans="1:41">
      <c r="A37"/>
      <c r="B37"/>
      <c r="C37" s="12" t="s">
        <v>34</v>
      </c>
      <c r="D37" s="5">
        <v>2</v>
      </c>
      <c r="E37" s="6">
        <v>15</v>
      </c>
      <c r="F37" s="7">
        <v>7</v>
      </c>
      <c r="G37" s="9">
        <v>1</v>
      </c>
      <c r="H37" s="10">
        <v>12</v>
      </c>
      <c r="I37" s="11">
        <v>5</v>
      </c>
      <c r="J37" s="5">
        <v>1.45</v>
      </c>
      <c r="K37" s="6">
        <v>18.95</v>
      </c>
      <c r="L37" s="7">
        <v>9.28</v>
      </c>
      <c r="M37" s="9">
        <v>1.8</v>
      </c>
      <c r="N37" s="10">
        <v>11.85</v>
      </c>
      <c r="O37" s="11">
        <v>2.95</v>
      </c>
      <c r="P37" s="5">
        <v>3</v>
      </c>
      <c r="Q37" s="6">
        <v>40</v>
      </c>
      <c r="R37" s="7">
        <v>19</v>
      </c>
      <c r="S37" s="9">
        <v>4</v>
      </c>
      <c r="T37" s="10">
        <v>25</v>
      </c>
      <c r="U37" s="11">
        <v>7</v>
      </c>
      <c r="W37" s="16" t="s">
        <v>49</v>
      </c>
      <c r="X37" s="19">
        <v>0</v>
      </c>
      <c r="Y37" s="19">
        <v>0</v>
      </c>
      <c r="Z37" s="19">
        <v>0</v>
      </c>
      <c r="AA37" s="14">
        <v>0</v>
      </c>
      <c r="AB37" s="14">
        <v>0</v>
      </c>
      <c r="AC37" s="14">
        <v>0</v>
      </c>
      <c r="AD37" s="19">
        <v>0</v>
      </c>
      <c r="AE37" s="19">
        <v>0</v>
      </c>
      <c r="AF37" s="19">
        <v>0</v>
      </c>
      <c r="AG37" s="14">
        <v>0</v>
      </c>
      <c r="AH37" s="14">
        <v>0</v>
      </c>
      <c r="AI37" s="14">
        <v>0</v>
      </c>
      <c r="AJ37" s="19">
        <v>0</v>
      </c>
      <c r="AK37" s="19">
        <v>0</v>
      </c>
      <c r="AL37" s="19">
        <v>0</v>
      </c>
      <c r="AM37" s="14">
        <v>0</v>
      </c>
      <c r="AN37" s="14">
        <v>0</v>
      </c>
      <c r="AO37" s="14">
        <v>0</v>
      </c>
    </row>
    <row r="38" spans="1:41">
      <c r="A38"/>
      <c r="B38"/>
      <c r="C38" s="12" t="s">
        <v>35</v>
      </c>
      <c r="D38" s="5">
        <v>18</v>
      </c>
      <c r="E38" s="6">
        <v>440</v>
      </c>
      <c r="F38" s="7">
        <v>298</v>
      </c>
      <c r="G38" s="9">
        <v>6</v>
      </c>
      <c r="H38" s="10">
        <v>219</v>
      </c>
      <c r="I38" s="11">
        <v>155</v>
      </c>
      <c r="J38" s="5">
        <v>15.61</v>
      </c>
      <c r="K38" s="6">
        <v>422.84</v>
      </c>
      <c r="L38" s="7">
        <v>321.76</v>
      </c>
      <c r="M38" s="9">
        <v>6.74</v>
      </c>
      <c r="N38" s="10">
        <v>203.78</v>
      </c>
      <c r="O38" s="11">
        <v>137.23</v>
      </c>
      <c r="P38" s="5">
        <v>35</v>
      </c>
      <c r="Q38" s="6">
        <v>929</v>
      </c>
      <c r="R38" s="7">
        <v>697</v>
      </c>
      <c r="S38" s="9">
        <v>15</v>
      </c>
      <c r="T38" s="10">
        <v>450</v>
      </c>
      <c r="U38" s="11">
        <v>307</v>
      </c>
      <c r="W38" s="18" t="s">
        <v>26</v>
      </c>
      <c r="X38" s="18" t="str">
        <f>SUM(X13:X37)</f>
        <v>0</v>
      </c>
      <c r="Y38" s="18" t="str">
        <f>SUM(Y13:Y37)</f>
        <v>0</v>
      </c>
      <c r="Z38" s="18" t="str">
        <f>SUM(Z13:Z37)</f>
        <v>0</v>
      </c>
      <c r="AA38" s="18" t="str">
        <f>SUM(AA13:AA37)</f>
        <v>0</v>
      </c>
      <c r="AB38" s="18" t="str">
        <f>SUM(AB13:AB37)</f>
        <v>0</v>
      </c>
      <c r="AC38" s="18" t="str">
        <f>SUM(AC13:AC37)</f>
        <v>0</v>
      </c>
      <c r="AD38" s="18" t="str">
        <f>SUM(AD13:AD37)</f>
        <v>0</v>
      </c>
      <c r="AE38" s="18" t="str">
        <f>SUM(AE13:AE37)</f>
        <v>0</v>
      </c>
      <c r="AF38" s="18" t="str">
        <f>SUM(AF13:AF37)</f>
        <v>0</v>
      </c>
      <c r="AG38" s="18" t="str">
        <f>SUM(AG13:AG37)</f>
        <v>0</v>
      </c>
      <c r="AH38" s="18" t="str">
        <f>SUM(AH13:AH37)</f>
        <v>0</v>
      </c>
      <c r="AI38" s="18" t="str">
        <f>SUM(AI13:AI37)</f>
        <v>0</v>
      </c>
      <c r="AJ38" s="18" t="str">
        <f>SUM(AJ13:AJ37)</f>
        <v>0</v>
      </c>
      <c r="AK38" s="18" t="str">
        <f>SUM(AK13:AK37)</f>
        <v>0</v>
      </c>
      <c r="AL38" s="18" t="str">
        <f>SUM(AL13:AL37)</f>
        <v>0</v>
      </c>
      <c r="AM38" s="18" t="str">
        <f>SUM(AM13:AM37)</f>
        <v>0</v>
      </c>
      <c r="AN38" s="18" t="str">
        <f>SUM(AN13:AN37)</f>
        <v>0</v>
      </c>
      <c r="AO38" s="18" t="str">
        <f>SUM(AO13:AO37)</f>
        <v>0</v>
      </c>
    </row>
    <row r="39" spans="1:41">
      <c r="C39" s="13" t="s">
        <v>26</v>
      </c>
      <c r="D39" s="13" t="str">
        <f>SUM(D30:D38)</f>
        <v>0</v>
      </c>
      <c r="E39" s="13" t="str">
        <f>SUM(E30:E38)</f>
        <v>0</v>
      </c>
      <c r="F39" s="13" t="str">
        <f>SUM(F30:F38)</f>
        <v>0</v>
      </c>
      <c r="G39" s="13" t="str">
        <f>SUM(G30:G38)</f>
        <v>0</v>
      </c>
      <c r="H39" s="13" t="str">
        <f>SUM(H30:H38)</f>
        <v>0</v>
      </c>
      <c r="I39" s="13" t="str">
        <f>SUM(I30:I38)</f>
        <v>0</v>
      </c>
      <c r="J39" s="13" t="str">
        <f>SUM(J30:J38)</f>
        <v>0</v>
      </c>
      <c r="K39" s="13" t="str">
        <f>SUM(K30:K38)</f>
        <v>0</v>
      </c>
      <c r="L39" s="13" t="str">
        <f>SUM(L30:L38)</f>
        <v>0</v>
      </c>
      <c r="M39" s="13" t="str">
        <f>SUM(M30:M38)</f>
        <v>0</v>
      </c>
      <c r="N39" s="13" t="str">
        <f>SUM(N30:N38)</f>
        <v>0</v>
      </c>
      <c r="O39" s="13" t="str">
        <f>SUM(O30:O38)</f>
        <v>0</v>
      </c>
      <c r="P39" s="13" t="str">
        <f>SUM(P30:P38)</f>
        <v>0</v>
      </c>
      <c r="Q39" s="13" t="str">
        <f>SUM(Q30:Q38)</f>
        <v>0</v>
      </c>
      <c r="R39" s="13" t="str">
        <f>SUM(R30:R38)</f>
        <v>0</v>
      </c>
      <c r="S39" s="13" t="str">
        <f>SUM(S30:S38)</f>
        <v>0</v>
      </c>
      <c r="T39" s="13" t="str">
        <f>SUM(T30:T38)</f>
        <v>0</v>
      </c>
      <c r="U39" s="13" t="str">
        <f>SUM(U30:U38)</f>
        <v>0</v>
      </c>
    </row>
    <row r="40" spans="1:41">
      <c r="A40" s="9" t="s">
        <v>50</v>
      </c>
      <c r="B40" s="11" t="s">
        <v>51</v>
      </c>
      <c r="C40" s="12" t="s">
        <v>30</v>
      </c>
      <c r="D40" s="5">
        <v>2</v>
      </c>
      <c r="E40" s="6">
        <v>62</v>
      </c>
      <c r="F40" s="7">
        <v>36</v>
      </c>
      <c r="G40" s="9">
        <v>0</v>
      </c>
      <c r="H40" s="10">
        <v>16</v>
      </c>
      <c r="I40" s="11">
        <v>13</v>
      </c>
      <c r="J40" s="5">
        <v>2.8</v>
      </c>
      <c r="K40" s="6">
        <v>81.3</v>
      </c>
      <c r="L40" s="7">
        <v>39.58</v>
      </c>
      <c r="M40" s="9">
        <v>0</v>
      </c>
      <c r="N40" s="10">
        <v>17.68</v>
      </c>
      <c r="O40" s="11">
        <v>12.23</v>
      </c>
      <c r="P40" s="5">
        <v>6</v>
      </c>
      <c r="Q40" s="6">
        <v>187</v>
      </c>
      <c r="R40" s="7">
        <v>92</v>
      </c>
      <c r="S40" s="9">
        <v>0</v>
      </c>
      <c r="T40" s="10">
        <v>40</v>
      </c>
      <c r="U40" s="11">
        <v>30</v>
      </c>
      <c r="X40" s="3" t="s">
        <v>52</v>
      </c>
      <c r="Y40" s="3"/>
      <c r="Z40" s="3"/>
      <c r="AA40" s="3"/>
      <c r="AB40" s="3"/>
      <c r="AC40" s="3"/>
      <c r="AE40" s="36" t="s">
        <v>53</v>
      </c>
      <c r="AF40" s="22" t="s">
        <v>54</v>
      </c>
      <c r="AG40" s="22"/>
      <c r="AH40" s="22"/>
    </row>
    <row r="41" spans="1:41">
      <c r="A41"/>
      <c r="B41"/>
      <c r="C41" s="12" t="s">
        <v>16</v>
      </c>
      <c r="D41" s="5">
        <v>0</v>
      </c>
      <c r="E41" s="6">
        <v>161</v>
      </c>
      <c r="F41" s="7">
        <v>109</v>
      </c>
      <c r="G41" s="9">
        <v>1</v>
      </c>
      <c r="H41" s="10">
        <v>31</v>
      </c>
      <c r="I41" s="11">
        <v>39</v>
      </c>
      <c r="J41" s="5">
        <v>0</v>
      </c>
      <c r="K41" s="6">
        <v>140.81</v>
      </c>
      <c r="L41" s="7">
        <v>89.07</v>
      </c>
      <c r="M41" s="9">
        <v>0.77</v>
      </c>
      <c r="N41" s="10">
        <v>23.35</v>
      </c>
      <c r="O41" s="11">
        <v>32.3</v>
      </c>
      <c r="P41" s="5">
        <v>0</v>
      </c>
      <c r="Q41" s="6">
        <v>317</v>
      </c>
      <c r="R41" s="7">
        <v>202</v>
      </c>
      <c r="S41" s="9">
        <v>2</v>
      </c>
      <c r="T41" s="10">
        <v>54</v>
      </c>
      <c r="U41" s="11">
        <v>75</v>
      </c>
      <c r="X41" s="20" t="s">
        <v>2</v>
      </c>
      <c r="Y41" s="20"/>
      <c r="Z41" s="20"/>
      <c r="AA41" s="24" t="s">
        <v>3</v>
      </c>
      <c r="AB41" s="24"/>
      <c r="AC41" s="24"/>
      <c r="AE41" s="36"/>
      <c r="AF41" s="23" t="s">
        <v>55</v>
      </c>
      <c r="AG41" s="23"/>
      <c r="AH41" s="23"/>
    </row>
    <row r="42" spans="1:41">
      <c r="A42"/>
      <c r="B42"/>
      <c r="C42" s="12" t="s">
        <v>18</v>
      </c>
      <c r="D42" s="5">
        <v>0</v>
      </c>
      <c r="E42" s="6">
        <v>35</v>
      </c>
      <c r="F42" s="7">
        <v>14</v>
      </c>
      <c r="G42" s="9">
        <v>2</v>
      </c>
      <c r="H42" s="10">
        <v>21</v>
      </c>
      <c r="I42" s="11">
        <v>17</v>
      </c>
      <c r="J42" s="5">
        <v>0</v>
      </c>
      <c r="K42" s="6">
        <v>35.62</v>
      </c>
      <c r="L42" s="7">
        <v>17.45</v>
      </c>
      <c r="M42" s="9">
        <v>2.1</v>
      </c>
      <c r="N42" s="10">
        <v>18.25</v>
      </c>
      <c r="O42" s="11">
        <v>16.5</v>
      </c>
      <c r="P42" s="5">
        <v>0</v>
      </c>
      <c r="Q42" s="6">
        <v>74</v>
      </c>
      <c r="R42" s="7">
        <v>37</v>
      </c>
      <c r="S42" s="9">
        <v>5</v>
      </c>
      <c r="T42" s="10">
        <v>38</v>
      </c>
      <c r="U42" s="11">
        <v>34</v>
      </c>
      <c r="W42" s="16" t="s">
        <v>27</v>
      </c>
      <c r="X42" s="28" t="s">
        <v>11</v>
      </c>
      <c r="Y42" s="29" t="s">
        <v>12</v>
      </c>
      <c r="Z42" s="30" t="s">
        <v>13</v>
      </c>
      <c r="AA42" s="31" t="s">
        <v>11</v>
      </c>
      <c r="AB42" s="32" t="s">
        <v>12</v>
      </c>
      <c r="AC42" s="33" t="s">
        <v>13</v>
      </c>
      <c r="AE42" s="36"/>
      <c r="AF42" s="30" t="s">
        <v>56</v>
      </c>
      <c r="AG42" s="30"/>
      <c r="AH42" s="30"/>
    </row>
    <row r="43" spans="1:41">
      <c r="A43"/>
      <c r="B43"/>
      <c r="C43" s="12" t="s">
        <v>29</v>
      </c>
      <c r="D43" s="5">
        <v>0</v>
      </c>
      <c r="E43" s="6">
        <v>0</v>
      </c>
      <c r="F43" s="7">
        <v>0</v>
      </c>
      <c r="G43" s="9">
        <v>0</v>
      </c>
      <c r="H43" s="10">
        <v>0</v>
      </c>
      <c r="I43" s="11">
        <v>0</v>
      </c>
      <c r="J43" s="5">
        <v>0</v>
      </c>
      <c r="K43" s="6">
        <v>0</v>
      </c>
      <c r="L43" s="7">
        <v>0</v>
      </c>
      <c r="M43" s="9">
        <v>0</v>
      </c>
      <c r="N43" s="10">
        <v>0</v>
      </c>
      <c r="O43" s="11">
        <v>0</v>
      </c>
      <c r="P43" s="5">
        <v>0</v>
      </c>
      <c r="Q43" s="6">
        <v>0</v>
      </c>
      <c r="R43" s="7">
        <v>0</v>
      </c>
      <c r="S43" s="9">
        <v>0</v>
      </c>
      <c r="T43" s="10">
        <v>0</v>
      </c>
      <c r="U43" s="11">
        <v>0</v>
      </c>
      <c r="W43" s="16" t="s">
        <v>16</v>
      </c>
      <c r="X43" s="34">
        <v>0.27</v>
      </c>
      <c r="Y43" s="34">
        <v>5.78</v>
      </c>
      <c r="Z43" s="34">
        <v>3.71</v>
      </c>
      <c r="AA43" s="35">
        <v>0.24</v>
      </c>
      <c r="AB43" s="35">
        <v>5.72</v>
      </c>
      <c r="AC43" s="35">
        <v>4.52</v>
      </c>
      <c r="AE43" s="37" t="s">
        <v>57</v>
      </c>
      <c r="AF43" s="26" t="s">
        <v>58</v>
      </c>
      <c r="AG43" s="26"/>
      <c r="AH43" s="26"/>
    </row>
    <row r="44" spans="1:41">
      <c r="A44"/>
      <c r="B44"/>
      <c r="C44" s="12" t="s">
        <v>20</v>
      </c>
      <c r="D44" s="5">
        <v>91</v>
      </c>
      <c r="E44" s="6">
        <v>1863</v>
      </c>
      <c r="F44" s="7">
        <v>931</v>
      </c>
      <c r="G44" s="9">
        <v>35</v>
      </c>
      <c r="H44" s="10">
        <v>663</v>
      </c>
      <c r="I44" s="11">
        <v>503</v>
      </c>
      <c r="J44" s="5">
        <v>71.94</v>
      </c>
      <c r="K44" s="6">
        <v>1623.41</v>
      </c>
      <c r="L44" s="7">
        <v>926.05</v>
      </c>
      <c r="M44" s="9">
        <v>25.33</v>
      </c>
      <c r="N44" s="10">
        <v>559.92</v>
      </c>
      <c r="O44" s="11">
        <v>427.85</v>
      </c>
      <c r="P44" s="5">
        <v>167</v>
      </c>
      <c r="Q44" s="6">
        <v>3663</v>
      </c>
      <c r="R44" s="7">
        <v>2069</v>
      </c>
      <c r="S44" s="9">
        <v>60</v>
      </c>
      <c r="T44" s="10">
        <v>1256</v>
      </c>
      <c r="U44" s="11">
        <v>966</v>
      </c>
      <c r="W44" s="16" t="s">
        <v>17</v>
      </c>
      <c r="X44" s="34">
        <v>0.21</v>
      </c>
      <c r="Y44" s="34">
        <v>4.12</v>
      </c>
      <c r="Z44" s="34">
        <v>2.72</v>
      </c>
      <c r="AA44" s="35">
        <v>0.16</v>
      </c>
      <c r="AB44" s="35">
        <v>3.63</v>
      </c>
      <c r="AC44" s="35">
        <v>2.8</v>
      </c>
      <c r="AE44" s="37"/>
      <c r="AF44" s="27" t="s">
        <v>59</v>
      </c>
      <c r="AG44" s="27"/>
      <c r="AH44" s="27"/>
    </row>
    <row r="45" spans="1:41">
      <c r="A45"/>
      <c r="B45"/>
      <c r="C45" s="12" t="s">
        <v>36</v>
      </c>
      <c r="D45" s="5">
        <v>16</v>
      </c>
      <c r="E45" s="6">
        <v>362</v>
      </c>
      <c r="F45" s="7">
        <v>206</v>
      </c>
      <c r="G45" s="9">
        <v>6</v>
      </c>
      <c r="H45" s="10">
        <v>163</v>
      </c>
      <c r="I45" s="11">
        <v>97</v>
      </c>
      <c r="J45" s="5">
        <v>13.1</v>
      </c>
      <c r="K45" s="6">
        <v>362.29</v>
      </c>
      <c r="L45" s="7">
        <v>218.17</v>
      </c>
      <c r="M45" s="9">
        <v>6</v>
      </c>
      <c r="N45" s="10">
        <v>168.4</v>
      </c>
      <c r="O45" s="11">
        <v>94.92</v>
      </c>
      <c r="P45" s="5">
        <v>31</v>
      </c>
      <c r="Q45" s="6">
        <v>815</v>
      </c>
      <c r="R45" s="7">
        <v>479</v>
      </c>
      <c r="S45" s="9">
        <v>12</v>
      </c>
      <c r="T45" s="10">
        <v>365</v>
      </c>
      <c r="U45" s="11">
        <v>210</v>
      </c>
      <c r="W45" s="16" t="s">
        <v>18</v>
      </c>
      <c r="X45" s="34">
        <v>0.3</v>
      </c>
      <c r="Y45" s="34">
        <v>6.21</v>
      </c>
      <c r="Z45" s="34">
        <v>4.17</v>
      </c>
      <c r="AA45" s="35">
        <v>0.27</v>
      </c>
      <c r="AB45" s="35">
        <v>6.65</v>
      </c>
      <c r="AC45" s="35">
        <v>5.44</v>
      </c>
      <c r="AE45" s="37"/>
      <c r="AF45" s="33" t="s">
        <v>60</v>
      </c>
      <c r="AG45" s="33"/>
      <c r="AH45" s="33"/>
    </row>
    <row r="46" spans="1:41">
      <c r="A46"/>
      <c r="B46"/>
      <c r="C46" s="12" t="s">
        <v>37</v>
      </c>
      <c r="D46" s="5">
        <v>0</v>
      </c>
      <c r="E46" s="6">
        <v>0</v>
      </c>
      <c r="F46" s="7">
        <v>0</v>
      </c>
      <c r="G46" s="9">
        <v>0</v>
      </c>
      <c r="H46" s="10">
        <v>0</v>
      </c>
      <c r="I46" s="11">
        <v>0</v>
      </c>
      <c r="J46" s="5">
        <v>0</v>
      </c>
      <c r="K46" s="6">
        <v>0</v>
      </c>
      <c r="L46" s="7">
        <v>0</v>
      </c>
      <c r="M46" s="9">
        <v>0</v>
      </c>
      <c r="N46" s="10">
        <v>0</v>
      </c>
      <c r="O46" s="11">
        <v>0</v>
      </c>
      <c r="P46" s="5">
        <v>0</v>
      </c>
      <c r="Q46" s="6">
        <v>0</v>
      </c>
      <c r="R46" s="7">
        <v>0</v>
      </c>
      <c r="S46" s="9">
        <v>0</v>
      </c>
      <c r="T46" s="10">
        <v>0</v>
      </c>
      <c r="U46" s="11">
        <v>0</v>
      </c>
      <c r="W46" s="16" t="s">
        <v>20</v>
      </c>
      <c r="X46" s="34">
        <v>1.67</v>
      </c>
      <c r="Y46" s="34">
        <v>22.26</v>
      </c>
      <c r="Z46" s="34">
        <v>11.74</v>
      </c>
      <c r="AA46" s="35">
        <v>0.96</v>
      </c>
      <c r="AB46" s="35">
        <v>18.93</v>
      </c>
      <c r="AC46" s="35">
        <v>13.25</v>
      </c>
    </row>
    <row r="47" spans="1:41">
      <c r="A47"/>
      <c r="B47"/>
      <c r="C47" s="12" t="s">
        <v>22</v>
      </c>
      <c r="D47" s="5">
        <v>17</v>
      </c>
      <c r="E47" s="6">
        <v>303</v>
      </c>
      <c r="F47" s="7">
        <v>155</v>
      </c>
      <c r="G47" s="9">
        <v>11</v>
      </c>
      <c r="H47" s="10">
        <v>183</v>
      </c>
      <c r="I47" s="11">
        <v>95</v>
      </c>
      <c r="J47" s="5">
        <v>12.35</v>
      </c>
      <c r="K47" s="6">
        <v>244.33</v>
      </c>
      <c r="L47" s="7">
        <v>131.58</v>
      </c>
      <c r="M47" s="9">
        <v>8.78</v>
      </c>
      <c r="N47" s="10">
        <v>137.17</v>
      </c>
      <c r="O47" s="11">
        <v>73.33</v>
      </c>
      <c r="P47" s="5">
        <v>26</v>
      </c>
      <c r="Q47" s="6">
        <v>521</v>
      </c>
      <c r="R47" s="7">
        <v>278</v>
      </c>
      <c r="S47" s="9">
        <v>19</v>
      </c>
      <c r="T47" s="10">
        <v>297</v>
      </c>
      <c r="U47" s="11">
        <v>157</v>
      </c>
      <c r="W47" s="16" t="s">
        <v>22</v>
      </c>
      <c r="X47" s="34">
        <v>0.08</v>
      </c>
      <c r="Y47" s="34">
        <v>1.37</v>
      </c>
      <c r="Z47" s="34">
        <v>0.9</v>
      </c>
      <c r="AA47" s="35">
        <v>0.06</v>
      </c>
      <c r="AB47" s="35">
        <v>1.41</v>
      </c>
      <c r="AC47" s="35">
        <v>1.13</v>
      </c>
      <c r="AF47" s="38" t="s">
        <v>61</v>
      </c>
      <c r="AG47" s="38" t="s">
        <v>12</v>
      </c>
      <c r="AH47" s="38" t="s">
        <v>62</v>
      </c>
    </row>
    <row r="48" spans="1:41">
      <c r="A48"/>
      <c r="B48"/>
      <c r="C48" s="12" t="s">
        <v>23</v>
      </c>
      <c r="D48" s="5">
        <v>8</v>
      </c>
      <c r="E48" s="6">
        <v>104</v>
      </c>
      <c r="F48" s="7">
        <v>69</v>
      </c>
      <c r="G48" s="9">
        <v>1</v>
      </c>
      <c r="H48" s="10">
        <v>36</v>
      </c>
      <c r="I48" s="11">
        <v>31</v>
      </c>
      <c r="J48" s="5">
        <v>4.8</v>
      </c>
      <c r="K48" s="6">
        <v>85.4</v>
      </c>
      <c r="L48" s="7">
        <v>58.51</v>
      </c>
      <c r="M48" s="9">
        <v>0.25</v>
      </c>
      <c r="N48" s="10">
        <v>36.54</v>
      </c>
      <c r="O48" s="11">
        <v>34.24</v>
      </c>
      <c r="P48" s="5">
        <v>11</v>
      </c>
      <c r="Q48" s="6">
        <v>190</v>
      </c>
      <c r="R48" s="7">
        <v>131</v>
      </c>
      <c r="S48" s="9">
        <v>1</v>
      </c>
      <c r="T48" s="10">
        <v>81</v>
      </c>
      <c r="U48" s="11">
        <v>72</v>
      </c>
      <c r="W48" s="16" t="s">
        <v>23</v>
      </c>
      <c r="X48" s="34">
        <v>0.08</v>
      </c>
      <c r="Y48" s="34">
        <v>1.95</v>
      </c>
      <c r="Z48" s="34">
        <v>1.21</v>
      </c>
      <c r="AA48" s="35">
        <v>0.06</v>
      </c>
      <c r="AB48" s="35">
        <v>1.71</v>
      </c>
      <c r="AC48" s="35">
        <v>1.32</v>
      </c>
      <c r="AE48" s="39" t="s">
        <v>53</v>
      </c>
      <c r="AF48" s="17" t="s">
        <v>63</v>
      </c>
      <c r="AG48" s="17" t="s">
        <v>64</v>
      </c>
      <c r="AH48" s="17" t="s">
        <v>65</v>
      </c>
    </row>
    <row r="49" spans="1:41">
      <c r="A49"/>
      <c r="B49"/>
      <c r="C49" s="12" t="s">
        <v>35</v>
      </c>
      <c r="D49" s="5">
        <v>0</v>
      </c>
      <c r="E49" s="6">
        <v>0</v>
      </c>
      <c r="F49" s="7">
        <v>0</v>
      </c>
      <c r="G49" s="9">
        <v>0</v>
      </c>
      <c r="H49" s="10">
        <v>0</v>
      </c>
      <c r="I49" s="11">
        <v>0</v>
      </c>
      <c r="J49" s="5">
        <v>0</v>
      </c>
      <c r="K49" s="6">
        <v>0</v>
      </c>
      <c r="L49" s="7">
        <v>0</v>
      </c>
      <c r="M49" s="9">
        <v>0</v>
      </c>
      <c r="N49" s="10">
        <v>0</v>
      </c>
      <c r="O49" s="11">
        <v>0</v>
      </c>
      <c r="P49" s="5">
        <v>0</v>
      </c>
      <c r="Q49" s="6">
        <v>0</v>
      </c>
      <c r="R49" s="7">
        <v>0</v>
      </c>
      <c r="S49" s="9">
        <v>0</v>
      </c>
      <c r="T49" s="10">
        <v>0</v>
      </c>
      <c r="U49" s="11">
        <v>0</v>
      </c>
      <c r="W49" s="16" t="s">
        <v>29</v>
      </c>
      <c r="X49" s="34">
        <v>0.07</v>
      </c>
      <c r="Y49" s="34">
        <v>1.61</v>
      </c>
      <c r="Z49" s="34">
        <v>1.11</v>
      </c>
      <c r="AA49" s="35">
        <v>0.06</v>
      </c>
      <c r="AB49" s="35">
        <v>1.29</v>
      </c>
      <c r="AC49" s="35">
        <v>1</v>
      </c>
      <c r="AE49" s="39" t="s">
        <v>57</v>
      </c>
      <c r="AF49" s="17" t="s">
        <v>66</v>
      </c>
      <c r="AG49" s="17" t="s">
        <v>67</v>
      </c>
      <c r="AH49" s="17" t="s">
        <v>68</v>
      </c>
    </row>
    <row r="50" spans="1:41">
      <c r="C50" s="13" t="s">
        <v>26</v>
      </c>
      <c r="D50" s="13" t="str">
        <f>SUM(D40:D49)</f>
        <v>0</v>
      </c>
      <c r="E50" s="13" t="str">
        <f>SUM(E40:E49)</f>
        <v>0</v>
      </c>
      <c r="F50" s="13" t="str">
        <f>SUM(F40:F49)</f>
        <v>0</v>
      </c>
      <c r="G50" s="13" t="str">
        <f>SUM(G40:G49)</f>
        <v>0</v>
      </c>
      <c r="H50" s="13" t="str">
        <f>SUM(H40:H49)</f>
        <v>0</v>
      </c>
      <c r="I50" s="13" t="str">
        <f>SUM(I40:I49)</f>
        <v>0</v>
      </c>
      <c r="J50" s="13" t="str">
        <f>SUM(J40:J49)</f>
        <v>0</v>
      </c>
      <c r="K50" s="13" t="str">
        <f>SUM(K40:K49)</f>
        <v>0</v>
      </c>
      <c r="L50" s="13" t="str">
        <f>SUM(L40:L49)</f>
        <v>0</v>
      </c>
      <c r="M50" s="13" t="str">
        <f>SUM(M40:M49)</f>
        <v>0</v>
      </c>
      <c r="N50" s="13" t="str">
        <f>SUM(N40:N49)</f>
        <v>0</v>
      </c>
      <c r="O50" s="13" t="str">
        <f>SUM(O40:O49)</f>
        <v>0</v>
      </c>
      <c r="P50" s="13" t="str">
        <f>SUM(P40:P49)</f>
        <v>0</v>
      </c>
      <c r="Q50" s="13" t="str">
        <f>SUM(Q40:Q49)</f>
        <v>0</v>
      </c>
      <c r="R50" s="13" t="str">
        <f>SUM(R40:R49)</f>
        <v>0</v>
      </c>
      <c r="S50" s="13" t="str">
        <f>SUM(S40:S49)</f>
        <v>0</v>
      </c>
      <c r="T50" s="13" t="str">
        <f>SUM(T40:T49)</f>
        <v>0</v>
      </c>
      <c r="U50" s="13" t="str">
        <f>SUM(U40:U49)</f>
        <v>0</v>
      </c>
      <c r="W50" s="16" t="s">
        <v>30</v>
      </c>
      <c r="X50" s="34">
        <v>0.17</v>
      </c>
      <c r="Y50" s="34">
        <v>2.66</v>
      </c>
      <c r="Z50" s="34">
        <v>1.53</v>
      </c>
      <c r="AA50" s="35">
        <v>0.14</v>
      </c>
      <c r="AB50" s="35">
        <v>2.87</v>
      </c>
      <c r="AC50" s="35">
        <v>2.05</v>
      </c>
    </row>
    <row r="51" spans="1:41">
      <c r="A51"/>
      <c r="B51" s="14" t="s">
        <v>69</v>
      </c>
      <c r="C51" s="12" t="s">
        <v>30</v>
      </c>
      <c r="D51" s="5">
        <v>1</v>
      </c>
      <c r="E51" s="6">
        <v>78</v>
      </c>
      <c r="F51" s="7">
        <v>55</v>
      </c>
      <c r="G51" s="9">
        <v>3</v>
      </c>
      <c r="H51" s="10">
        <v>39</v>
      </c>
      <c r="I51" s="11">
        <v>34</v>
      </c>
      <c r="J51" s="5">
        <v>0.25</v>
      </c>
      <c r="K51" s="6">
        <v>61.77</v>
      </c>
      <c r="L51" s="7">
        <v>54.94</v>
      </c>
      <c r="M51" s="9">
        <v>2.75</v>
      </c>
      <c r="N51" s="10">
        <v>30.77</v>
      </c>
      <c r="O51" s="11">
        <v>31.29</v>
      </c>
      <c r="P51" s="5">
        <v>1</v>
      </c>
      <c r="Q51" s="6">
        <v>138</v>
      </c>
      <c r="R51" s="7">
        <v>114</v>
      </c>
      <c r="S51" s="9">
        <v>6</v>
      </c>
      <c r="T51" s="10">
        <v>71</v>
      </c>
      <c r="U51" s="11">
        <v>69</v>
      </c>
      <c r="W51" s="16" t="s">
        <v>32</v>
      </c>
      <c r="X51" s="34">
        <v>0.03</v>
      </c>
      <c r="Y51" s="34">
        <v>0.7</v>
      </c>
      <c r="Z51" s="34">
        <v>0.42</v>
      </c>
      <c r="AA51" s="35">
        <v>0.02</v>
      </c>
      <c r="AB51" s="35">
        <v>0.56</v>
      </c>
      <c r="AC51" s="35">
        <v>0.37</v>
      </c>
    </row>
    <row r="52" spans="1:41">
      <c r="A52"/>
      <c r="B52"/>
      <c r="C52" s="12" t="s">
        <v>16</v>
      </c>
      <c r="D52" s="5">
        <v>3</v>
      </c>
      <c r="E52" s="6">
        <v>107</v>
      </c>
      <c r="F52" s="7">
        <v>56</v>
      </c>
      <c r="G52" s="9">
        <v>3</v>
      </c>
      <c r="H52" s="10">
        <v>77</v>
      </c>
      <c r="I52" s="11">
        <v>38</v>
      </c>
      <c r="J52" s="5">
        <v>2</v>
      </c>
      <c r="K52" s="6">
        <v>96.02</v>
      </c>
      <c r="L52" s="7">
        <v>60.97</v>
      </c>
      <c r="M52" s="9">
        <v>2.7</v>
      </c>
      <c r="N52" s="10">
        <v>80.31</v>
      </c>
      <c r="O52" s="11">
        <v>34.7</v>
      </c>
      <c r="P52" s="5">
        <v>4</v>
      </c>
      <c r="Q52" s="6">
        <v>211</v>
      </c>
      <c r="R52" s="7">
        <v>132</v>
      </c>
      <c r="S52" s="9">
        <v>6</v>
      </c>
      <c r="T52" s="10">
        <v>177</v>
      </c>
      <c r="U52" s="11">
        <v>76</v>
      </c>
      <c r="W52" s="16" t="s">
        <v>33</v>
      </c>
      <c r="X52" s="34">
        <v>0</v>
      </c>
      <c r="Y52" s="34">
        <v>0</v>
      </c>
      <c r="Z52" s="34">
        <v>0</v>
      </c>
      <c r="AA52" s="35">
        <v>0</v>
      </c>
      <c r="AB52" s="35">
        <v>0.01</v>
      </c>
      <c r="AC52" s="35">
        <v>0</v>
      </c>
    </row>
    <row r="53" spans="1:41">
      <c r="A53"/>
      <c r="B53"/>
      <c r="C53" s="12" t="s">
        <v>18</v>
      </c>
      <c r="D53" s="5">
        <v>14</v>
      </c>
      <c r="E53" s="6">
        <v>142</v>
      </c>
      <c r="F53" s="7">
        <v>86</v>
      </c>
      <c r="G53" s="9">
        <v>5</v>
      </c>
      <c r="H53" s="10">
        <v>80</v>
      </c>
      <c r="I53" s="11">
        <v>49</v>
      </c>
      <c r="J53" s="5">
        <v>21.47</v>
      </c>
      <c r="K53" s="6">
        <v>180</v>
      </c>
      <c r="L53" s="7">
        <v>109.09</v>
      </c>
      <c r="M53" s="9">
        <v>6.02</v>
      </c>
      <c r="N53" s="10">
        <v>93</v>
      </c>
      <c r="O53" s="11">
        <v>55.85</v>
      </c>
      <c r="P53" s="5">
        <v>45</v>
      </c>
      <c r="Q53" s="6">
        <v>392</v>
      </c>
      <c r="R53" s="7">
        <v>234</v>
      </c>
      <c r="S53" s="9">
        <v>13</v>
      </c>
      <c r="T53" s="10">
        <v>206</v>
      </c>
      <c r="U53" s="11">
        <v>119</v>
      </c>
      <c r="W53" s="16" t="s">
        <v>34</v>
      </c>
      <c r="X53" s="34">
        <v>0.1</v>
      </c>
      <c r="Y53" s="34">
        <v>2.1</v>
      </c>
      <c r="Z53" s="34">
        <v>1.65</v>
      </c>
      <c r="AA53" s="35">
        <v>0.06</v>
      </c>
      <c r="AB53" s="35">
        <v>1.56</v>
      </c>
      <c r="AC53" s="35">
        <v>1.33</v>
      </c>
    </row>
    <row r="54" spans="1:41">
      <c r="A54"/>
      <c r="B54"/>
      <c r="C54" s="12" t="s">
        <v>29</v>
      </c>
      <c r="D54" s="5">
        <v>1</v>
      </c>
      <c r="E54" s="6">
        <v>18</v>
      </c>
      <c r="F54" s="7">
        <v>16</v>
      </c>
      <c r="G54" s="9">
        <v>2</v>
      </c>
      <c r="H54" s="10">
        <v>12</v>
      </c>
      <c r="I54" s="11">
        <v>6</v>
      </c>
      <c r="J54" s="5">
        <v>2</v>
      </c>
      <c r="K54" s="6">
        <v>29.46</v>
      </c>
      <c r="L54" s="7">
        <v>30.32</v>
      </c>
      <c r="M54" s="9">
        <v>2.96</v>
      </c>
      <c r="N54" s="10">
        <v>18.95</v>
      </c>
      <c r="O54" s="11">
        <v>11.32</v>
      </c>
      <c r="P54" s="5">
        <v>4</v>
      </c>
      <c r="Q54" s="6">
        <v>60</v>
      </c>
      <c r="R54" s="7">
        <v>62</v>
      </c>
      <c r="S54" s="9">
        <v>6</v>
      </c>
      <c r="T54" s="10">
        <v>40</v>
      </c>
      <c r="U54" s="11">
        <v>24</v>
      </c>
      <c r="W54" s="16" t="s">
        <v>35</v>
      </c>
      <c r="X54" s="34">
        <v>0.13</v>
      </c>
      <c r="Y54" s="34">
        <v>1.98</v>
      </c>
      <c r="Z54" s="34">
        <v>1.16</v>
      </c>
      <c r="AA54" s="35">
        <v>0.1</v>
      </c>
      <c r="AB54" s="35">
        <v>2.13</v>
      </c>
      <c r="AC54" s="35">
        <v>1.32</v>
      </c>
    </row>
    <row r="55" spans="1:41">
      <c r="A55"/>
      <c r="B55"/>
      <c r="C55" s="12" t="s">
        <v>20</v>
      </c>
      <c r="D55" s="5">
        <v>260</v>
      </c>
      <c r="E55" s="6">
        <v>3303</v>
      </c>
      <c r="F55" s="7">
        <v>1777</v>
      </c>
      <c r="G55" s="9">
        <v>129</v>
      </c>
      <c r="H55" s="10">
        <v>1717</v>
      </c>
      <c r="I55" s="11">
        <v>1176</v>
      </c>
      <c r="J55" s="5">
        <v>315.54</v>
      </c>
      <c r="K55" s="6">
        <v>4094.26</v>
      </c>
      <c r="L55" s="7">
        <v>2397.33</v>
      </c>
      <c r="M55" s="9">
        <v>168.31</v>
      </c>
      <c r="N55" s="10">
        <v>2042.76</v>
      </c>
      <c r="O55" s="11">
        <v>1553.4</v>
      </c>
      <c r="P55" s="5">
        <v>682</v>
      </c>
      <c r="Q55" s="6">
        <v>8906</v>
      </c>
      <c r="R55" s="7">
        <v>5154</v>
      </c>
      <c r="S55" s="9">
        <v>366</v>
      </c>
      <c r="T55" s="10">
        <v>4449</v>
      </c>
      <c r="U55" s="11">
        <v>3340</v>
      </c>
      <c r="W55" s="16" t="s">
        <v>36</v>
      </c>
      <c r="X55" s="34">
        <v>0.14</v>
      </c>
      <c r="Y55" s="34">
        <v>2.6</v>
      </c>
      <c r="Z55" s="34">
        <v>1.66</v>
      </c>
      <c r="AA55" s="35">
        <v>0.12</v>
      </c>
      <c r="AB55" s="35">
        <v>2.74</v>
      </c>
      <c r="AC55" s="35">
        <v>1.99</v>
      </c>
    </row>
    <row r="56" spans="1:41">
      <c r="A56"/>
      <c r="B56"/>
      <c r="C56" s="12" t="s">
        <v>36</v>
      </c>
      <c r="D56" s="5">
        <v>16</v>
      </c>
      <c r="E56" s="6">
        <v>182</v>
      </c>
      <c r="F56" s="7">
        <v>86</v>
      </c>
      <c r="G56" s="9">
        <v>6</v>
      </c>
      <c r="H56" s="10">
        <v>85</v>
      </c>
      <c r="I56" s="11">
        <v>56</v>
      </c>
      <c r="J56" s="5">
        <v>20.91</v>
      </c>
      <c r="K56" s="6">
        <v>274.64</v>
      </c>
      <c r="L56" s="7">
        <v>134.93</v>
      </c>
      <c r="M56" s="9">
        <v>4.95</v>
      </c>
      <c r="N56" s="10">
        <v>98.97</v>
      </c>
      <c r="O56" s="11">
        <v>103.33</v>
      </c>
      <c r="P56" s="5">
        <v>48</v>
      </c>
      <c r="Q56" s="6">
        <v>585</v>
      </c>
      <c r="R56" s="7">
        <v>286</v>
      </c>
      <c r="S56" s="9">
        <v>11</v>
      </c>
      <c r="T56" s="10">
        <v>214</v>
      </c>
      <c r="U56" s="11">
        <v>221</v>
      </c>
      <c r="W56" s="16" t="s">
        <v>37</v>
      </c>
      <c r="X56" s="34">
        <v>0.11</v>
      </c>
      <c r="Y56" s="34">
        <v>2.11</v>
      </c>
      <c r="Z56" s="34">
        <v>1.25</v>
      </c>
      <c r="AA56" s="35">
        <v>0.13</v>
      </c>
      <c r="AB56" s="35">
        <v>2.91</v>
      </c>
      <c r="AC56" s="35">
        <v>1.99</v>
      </c>
    </row>
    <row r="57" spans="1:41">
      <c r="A57"/>
      <c r="B57"/>
      <c r="C57" s="12" t="s">
        <v>22</v>
      </c>
      <c r="D57" s="5">
        <v>10</v>
      </c>
      <c r="E57" s="6">
        <v>220</v>
      </c>
      <c r="F57" s="7">
        <v>123</v>
      </c>
      <c r="G57" s="9">
        <v>2</v>
      </c>
      <c r="H57" s="10">
        <v>41</v>
      </c>
      <c r="I57" s="11">
        <v>37</v>
      </c>
      <c r="J57" s="5">
        <v>10.05</v>
      </c>
      <c r="K57" s="6">
        <v>212.64</v>
      </c>
      <c r="L57" s="7">
        <v>133.98</v>
      </c>
      <c r="M57" s="9">
        <v>3</v>
      </c>
      <c r="N57" s="10">
        <v>42.4</v>
      </c>
      <c r="O57" s="11">
        <v>41.15</v>
      </c>
      <c r="P57" s="5">
        <v>22</v>
      </c>
      <c r="Q57" s="6">
        <v>468</v>
      </c>
      <c r="R57" s="7">
        <v>295</v>
      </c>
      <c r="S57" s="9">
        <v>6</v>
      </c>
      <c r="T57" s="10">
        <v>93</v>
      </c>
      <c r="U57" s="11">
        <v>88</v>
      </c>
      <c r="W57" s="16" t="s">
        <v>38</v>
      </c>
      <c r="X57" s="34">
        <v>0.02</v>
      </c>
      <c r="Y57" s="34">
        <v>0.5</v>
      </c>
      <c r="Z57" s="34">
        <v>0.26</v>
      </c>
      <c r="AA57" s="35">
        <v>0.03</v>
      </c>
      <c r="AB57" s="35">
        <v>0.6</v>
      </c>
      <c r="AC57" s="35">
        <v>0.44</v>
      </c>
    </row>
    <row r="58" spans="1:41">
      <c r="A58"/>
      <c r="B58"/>
      <c r="C58" s="12" t="s">
        <v>23</v>
      </c>
      <c r="D58" s="5">
        <v>18</v>
      </c>
      <c r="E58" s="6">
        <v>176</v>
      </c>
      <c r="F58" s="7">
        <v>97</v>
      </c>
      <c r="G58" s="9">
        <v>4</v>
      </c>
      <c r="H58" s="10">
        <v>80</v>
      </c>
      <c r="I58" s="11">
        <v>63</v>
      </c>
      <c r="J58" s="5">
        <v>14.86</v>
      </c>
      <c r="K58" s="6">
        <v>187.4</v>
      </c>
      <c r="L58" s="7">
        <v>116.27</v>
      </c>
      <c r="M58" s="9">
        <v>3.56</v>
      </c>
      <c r="N58" s="10">
        <v>82.49</v>
      </c>
      <c r="O58" s="11">
        <v>79.6</v>
      </c>
      <c r="P58" s="5">
        <v>35</v>
      </c>
      <c r="Q58" s="6">
        <v>420</v>
      </c>
      <c r="R58" s="7">
        <v>256</v>
      </c>
      <c r="S58" s="9">
        <v>8</v>
      </c>
      <c r="T58" s="10">
        <v>187</v>
      </c>
      <c r="U58" s="11">
        <v>180</v>
      </c>
      <c r="W58" s="16" t="s">
        <v>39</v>
      </c>
      <c r="X58" s="34">
        <v>0.01</v>
      </c>
      <c r="Y58" s="34">
        <v>0.26</v>
      </c>
      <c r="Z58" s="34">
        <v>0.17</v>
      </c>
      <c r="AA58" s="35">
        <v>0.01</v>
      </c>
      <c r="AB58" s="35">
        <v>0.31</v>
      </c>
      <c r="AC58" s="35">
        <v>0.24</v>
      </c>
    </row>
    <row r="59" spans="1:41">
      <c r="C59" s="13" t="s">
        <v>26</v>
      </c>
      <c r="D59" s="13" t="str">
        <f>SUM(D51:D58)</f>
        <v>0</v>
      </c>
      <c r="E59" s="13" t="str">
        <f>SUM(E51:E58)</f>
        <v>0</v>
      </c>
      <c r="F59" s="13" t="str">
        <f>SUM(F51:F58)</f>
        <v>0</v>
      </c>
      <c r="G59" s="13" t="str">
        <f>SUM(G51:G58)</f>
        <v>0</v>
      </c>
      <c r="H59" s="13" t="str">
        <f>SUM(H51:H58)</f>
        <v>0</v>
      </c>
      <c r="I59" s="13" t="str">
        <f>SUM(I51:I58)</f>
        <v>0</v>
      </c>
      <c r="J59" s="13" t="str">
        <f>SUM(J51:J58)</f>
        <v>0</v>
      </c>
      <c r="K59" s="13" t="str">
        <f>SUM(K51:K58)</f>
        <v>0</v>
      </c>
      <c r="L59" s="13" t="str">
        <f>SUM(L51:L58)</f>
        <v>0</v>
      </c>
      <c r="M59" s="13" t="str">
        <f>SUM(M51:M58)</f>
        <v>0</v>
      </c>
      <c r="N59" s="13" t="str">
        <f>SUM(N51:N58)</f>
        <v>0</v>
      </c>
      <c r="O59" s="13" t="str">
        <f>SUM(O51:O58)</f>
        <v>0</v>
      </c>
      <c r="P59" s="13" t="str">
        <f>SUM(P51:P58)</f>
        <v>0</v>
      </c>
      <c r="Q59" s="13" t="str">
        <f>SUM(Q51:Q58)</f>
        <v>0</v>
      </c>
      <c r="R59" s="13" t="str">
        <f>SUM(R51:R58)</f>
        <v>0</v>
      </c>
      <c r="S59" s="13" t="str">
        <f>SUM(S51:S58)</f>
        <v>0</v>
      </c>
      <c r="T59" s="13" t="str">
        <f>SUM(T51:T58)</f>
        <v>0</v>
      </c>
      <c r="U59" s="13" t="str">
        <f>SUM(U51:U58)</f>
        <v>0</v>
      </c>
      <c r="W59" s="16" t="s">
        <v>40</v>
      </c>
      <c r="X59" s="34">
        <v>0</v>
      </c>
      <c r="Y59" s="34">
        <v>0</v>
      </c>
      <c r="Z59" s="34">
        <v>0</v>
      </c>
      <c r="AA59" s="35">
        <v>0</v>
      </c>
      <c r="AB59" s="35">
        <v>0</v>
      </c>
      <c r="AC59" s="35">
        <v>0</v>
      </c>
    </row>
    <row r="60" spans="1:41">
      <c r="A60"/>
      <c r="B60" s="14" t="s">
        <v>70</v>
      </c>
      <c r="C60" s="12" t="s">
        <v>16</v>
      </c>
      <c r="D60" s="5">
        <v>5</v>
      </c>
      <c r="E60" s="6">
        <v>74</v>
      </c>
      <c r="F60" s="7">
        <v>74</v>
      </c>
      <c r="G60" s="9">
        <v>2</v>
      </c>
      <c r="H60" s="10">
        <v>59</v>
      </c>
      <c r="I60" s="11">
        <v>63</v>
      </c>
      <c r="J60" s="5">
        <v>3.78</v>
      </c>
      <c r="K60" s="6">
        <v>57.27</v>
      </c>
      <c r="L60" s="7">
        <v>61.12</v>
      </c>
      <c r="M60" s="9">
        <v>3</v>
      </c>
      <c r="N60" s="10">
        <v>33.07</v>
      </c>
      <c r="O60" s="11">
        <v>39.9</v>
      </c>
      <c r="P60" s="5">
        <v>9</v>
      </c>
      <c r="Q60" s="6">
        <v>140</v>
      </c>
      <c r="R60" s="7">
        <v>151</v>
      </c>
      <c r="S60" s="9">
        <v>6</v>
      </c>
      <c r="T60" s="10">
        <v>95</v>
      </c>
      <c r="U60" s="11">
        <v>105</v>
      </c>
      <c r="W60" s="16" t="s">
        <v>42</v>
      </c>
      <c r="X60" s="34">
        <v>0.01</v>
      </c>
      <c r="Y60" s="34">
        <v>0.06</v>
      </c>
      <c r="Z60" s="34">
        <v>0.04</v>
      </c>
      <c r="AA60" s="35">
        <v>0.01</v>
      </c>
      <c r="AB60" s="35">
        <v>0.1</v>
      </c>
      <c r="AC60" s="35">
        <v>0.07</v>
      </c>
    </row>
    <row r="61" spans="1:41">
      <c r="A61"/>
      <c r="B61"/>
      <c r="C61" s="12" t="s">
        <v>18</v>
      </c>
      <c r="D61" s="5">
        <v>12</v>
      </c>
      <c r="E61" s="6">
        <v>119</v>
      </c>
      <c r="F61" s="7">
        <v>119</v>
      </c>
      <c r="G61" s="9">
        <v>2</v>
      </c>
      <c r="H61" s="10">
        <v>112</v>
      </c>
      <c r="I61" s="11">
        <v>87</v>
      </c>
      <c r="J61" s="5">
        <v>7.43</v>
      </c>
      <c r="K61" s="6">
        <v>95.75</v>
      </c>
      <c r="L61" s="7">
        <v>106.87</v>
      </c>
      <c r="M61" s="9">
        <v>1.42</v>
      </c>
      <c r="N61" s="10">
        <v>77.53</v>
      </c>
      <c r="O61" s="11">
        <v>85.55</v>
      </c>
      <c r="P61" s="5">
        <v>19</v>
      </c>
      <c r="Q61" s="6">
        <v>239</v>
      </c>
      <c r="R61" s="7">
        <v>260</v>
      </c>
      <c r="S61" s="9">
        <v>4</v>
      </c>
      <c r="T61" s="10">
        <v>196</v>
      </c>
      <c r="U61" s="11">
        <v>206</v>
      </c>
      <c r="W61" s="16" t="s">
        <v>43</v>
      </c>
      <c r="X61" s="34">
        <v>0.58</v>
      </c>
      <c r="Y61" s="34">
        <v>4.24</v>
      </c>
      <c r="Z61" s="34">
        <v>1.41</v>
      </c>
      <c r="AA61" s="35">
        <v>0.21</v>
      </c>
      <c r="AB61" s="35">
        <v>2.92</v>
      </c>
      <c r="AC61" s="35">
        <v>1.68</v>
      </c>
    </row>
    <row r="62" spans="1:41">
      <c r="A62"/>
      <c r="B62"/>
      <c r="C62" s="12" t="s">
        <v>29</v>
      </c>
      <c r="D62" s="5">
        <v>0</v>
      </c>
      <c r="E62" s="6">
        <v>49</v>
      </c>
      <c r="F62" s="7">
        <v>45</v>
      </c>
      <c r="G62" s="9">
        <v>0</v>
      </c>
      <c r="H62" s="10">
        <v>28</v>
      </c>
      <c r="I62" s="11">
        <v>38</v>
      </c>
      <c r="J62" s="5">
        <v>0</v>
      </c>
      <c r="K62" s="6">
        <v>37.13</v>
      </c>
      <c r="L62" s="7">
        <v>36.77</v>
      </c>
      <c r="M62" s="9">
        <v>0</v>
      </c>
      <c r="N62" s="10">
        <v>15.87</v>
      </c>
      <c r="O62" s="11">
        <v>35.97</v>
      </c>
      <c r="P62" s="5">
        <v>0</v>
      </c>
      <c r="Q62" s="6">
        <v>86</v>
      </c>
      <c r="R62" s="7">
        <v>85</v>
      </c>
      <c r="S62" s="9">
        <v>0</v>
      </c>
      <c r="T62" s="10">
        <v>43</v>
      </c>
      <c r="U62" s="11">
        <v>85</v>
      </c>
      <c r="W62" s="16" t="s">
        <v>44</v>
      </c>
      <c r="X62" s="34">
        <v>0.01</v>
      </c>
      <c r="Y62" s="34">
        <v>0.21</v>
      </c>
      <c r="Z62" s="34">
        <v>0.09</v>
      </c>
      <c r="AA62" s="35">
        <v>0.01</v>
      </c>
      <c r="AB62" s="35">
        <v>0.18</v>
      </c>
      <c r="AC62" s="35">
        <v>0.12</v>
      </c>
    </row>
    <row r="63" spans="1:41">
      <c r="A63"/>
      <c r="B63"/>
      <c r="C63" s="12" t="s">
        <v>20</v>
      </c>
      <c r="D63" s="5">
        <v>33</v>
      </c>
      <c r="E63" s="6">
        <v>767</v>
      </c>
      <c r="F63" s="7">
        <v>551</v>
      </c>
      <c r="G63" s="9">
        <v>15</v>
      </c>
      <c r="H63" s="10">
        <v>417</v>
      </c>
      <c r="I63" s="11">
        <v>375</v>
      </c>
      <c r="J63" s="5">
        <v>28.53</v>
      </c>
      <c r="K63" s="6">
        <v>824.22</v>
      </c>
      <c r="L63" s="7">
        <v>653.98</v>
      </c>
      <c r="M63" s="9">
        <v>16.83</v>
      </c>
      <c r="N63" s="10">
        <v>395.05</v>
      </c>
      <c r="O63" s="11">
        <v>384.4</v>
      </c>
      <c r="P63" s="5">
        <v>69</v>
      </c>
      <c r="Q63" s="6">
        <v>1864</v>
      </c>
      <c r="R63" s="7">
        <v>1469</v>
      </c>
      <c r="S63" s="9">
        <v>38</v>
      </c>
      <c r="T63" s="10">
        <v>923</v>
      </c>
      <c r="U63" s="11">
        <v>885</v>
      </c>
      <c r="W63" s="16" t="s">
        <v>45</v>
      </c>
      <c r="X63" s="34">
        <v>0</v>
      </c>
      <c r="Y63" s="34">
        <v>0.02</v>
      </c>
      <c r="Z63" s="34">
        <v>0.01</v>
      </c>
      <c r="AA63" s="35">
        <v>0</v>
      </c>
      <c r="AB63" s="35">
        <v>0.02</v>
      </c>
      <c r="AC63" s="35">
        <v>0.01</v>
      </c>
    </row>
    <row r="64" spans="1:41">
      <c r="A64"/>
      <c r="B64"/>
      <c r="C64" s="12" t="s">
        <v>36</v>
      </c>
      <c r="D64" s="5">
        <v>4</v>
      </c>
      <c r="E64" s="6">
        <v>70</v>
      </c>
      <c r="F64" s="7">
        <v>51</v>
      </c>
      <c r="G64" s="9">
        <v>2</v>
      </c>
      <c r="H64" s="10">
        <v>40</v>
      </c>
      <c r="I64" s="11">
        <v>29</v>
      </c>
      <c r="J64" s="5">
        <v>1.9</v>
      </c>
      <c r="K64" s="6">
        <v>61.32</v>
      </c>
      <c r="L64" s="7">
        <v>55.34</v>
      </c>
      <c r="M64" s="9">
        <v>0.75</v>
      </c>
      <c r="N64" s="10">
        <v>30.75</v>
      </c>
      <c r="O64" s="11">
        <v>27.89</v>
      </c>
      <c r="P64" s="5">
        <v>5</v>
      </c>
      <c r="Q64" s="6">
        <v>139</v>
      </c>
      <c r="R64" s="7">
        <v>125</v>
      </c>
      <c r="S64" s="9">
        <v>2</v>
      </c>
      <c r="T64" s="10">
        <v>71</v>
      </c>
      <c r="U64" s="11">
        <v>66</v>
      </c>
      <c r="W64" s="16" t="s">
        <v>46</v>
      </c>
      <c r="X64" s="34">
        <v>0</v>
      </c>
      <c r="Y64" s="34">
        <v>0</v>
      </c>
      <c r="Z64" s="34">
        <v>0</v>
      </c>
      <c r="AA64" s="35">
        <v>0</v>
      </c>
      <c r="AB64" s="35">
        <v>0</v>
      </c>
      <c r="AC64" s="35">
        <v>0</v>
      </c>
    </row>
    <row r="65" spans="1:41">
      <c r="A65"/>
      <c r="B65"/>
      <c r="C65" s="12" t="s">
        <v>22</v>
      </c>
      <c r="D65" s="5">
        <v>4</v>
      </c>
      <c r="E65" s="6">
        <v>122</v>
      </c>
      <c r="F65" s="7">
        <v>118</v>
      </c>
      <c r="G65" s="9">
        <v>3</v>
      </c>
      <c r="H65" s="10">
        <v>72</v>
      </c>
      <c r="I65" s="11">
        <v>74</v>
      </c>
      <c r="J65" s="5">
        <v>3.78</v>
      </c>
      <c r="K65" s="6">
        <v>118.55</v>
      </c>
      <c r="L65" s="7">
        <v>142.38</v>
      </c>
      <c r="M65" s="9">
        <v>2.45</v>
      </c>
      <c r="N65" s="10">
        <v>69.19</v>
      </c>
      <c r="O65" s="11">
        <v>74.1</v>
      </c>
      <c r="P65" s="5">
        <v>9</v>
      </c>
      <c r="Q65" s="6">
        <v>263</v>
      </c>
      <c r="R65" s="7">
        <v>316</v>
      </c>
      <c r="S65" s="9">
        <v>5</v>
      </c>
      <c r="T65" s="10">
        <v>155</v>
      </c>
      <c r="U65" s="11">
        <v>167</v>
      </c>
      <c r="W65" s="16" t="s">
        <v>47</v>
      </c>
      <c r="X65" s="34">
        <v>0</v>
      </c>
      <c r="Y65" s="34">
        <v>0.02</v>
      </c>
      <c r="Z65" s="34">
        <v>0.01</v>
      </c>
      <c r="AA65" s="35">
        <v>0</v>
      </c>
      <c r="AB65" s="35">
        <v>0.01</v>
      </c>
      <c r="AC65" s="35">
        <v>0.01</v>
      </c>
    </row>
    <row r="66" spans="1:41">
      <c r="A66"/>
      <c r="B66"/>
      <c r="C66" s="12" t="s">
        <v>23</v>
      </c>
      <c r="D66" s="5">
        <v>4</v>
      </c>
      <c r="E66" s="6">
        <v>82</v>
      </c>
      <c r="F66" s="7">
        <v>41</v>
      </c>
      <c r="G66" s="9">
        <v>1</v>
      </c>
      <c r="H66" s="10">
        <v>56</v>
      </c>
      <c r="I66" s="11">
        <v>35</v>
      </c>
      <c r="J66" s="5">
        <v>2.31</v>
      </c>
      <c r="K66" s="6">
        <v>59.75</v>
      </c>
      <c r="L66" s="7">
        <v>31.64</v>
      </c>
      <c r="M66" s="9">
        <v>0.3</v>
      </c>
      <c r="N66" s="10">
        <v>35.03</v>
      </c>
      <c r="O66" s="11">
        <v>21.06</v>
      </c>
      <c r="P66" s="5">
        <v>5</v>
      </c>
      <c r="Q66" s="6">
        <v>146</v>
      </c>
      <c r="R66" s="7">
        <v>78</v>
      </c>
      <c r="S66" s="9">
        <v>1</v>
      </c>
      <c r="T66" s="10">
        <v>88</v>
      </c>
      <c r="U66" s="11">
        <v>54</v>
      </c>
      <c r="W66" s="16" t="s">
        <v>48</v>
      </c>
      <c r="X66" s="34">
        <v>0</v>
      </c>
      <c r="Y66" s="34">
        <v>0</v>
      </c>
      <c r="Z66" s="34">
        <v>0</v>
      </c>
      <c r="AA66" s="35">
        <v>0</v>
      </c>
      <c r="AB66" s="35">
        <v>0</v>
      </c>
      <c r="AC66" s="35">
        <v>0</v>
      </c>
    </row>
    <row r="67" spans="1:41">
      <c r="A67"/>
      <c r="B67"/>
      <c r="C67" s="12" t="s">
        <v>34</v>
      </c>
      <c r="D67" s="5">
        <v>1</v>
      </c>
      <c r="E67" s="6">
        <v>9</v>
      </c>
      <c r="F67" s="7">
        <v>18</v>
      </c>
      <c r="G67" s="9">
        <v>0</v>
      </c>
      <c r="H67" s="10">
        <v>6</v>
      </c>
      <c r="I67" s="11">
        <v>4</v>
      </c>
      <c r="J67" s="5">
        <v>0.8</v>
      </c>
      <c r="K67" s="6">
        <v>7.75</v>
      </c>
      <c r="L67" s="7">
        <v>18.71</v>
      </c>
      <c r="M67" s="9">
        <v>0</v>
      </c>
      <c r="N67" s="10">
        <v>3.75</v>
      </c>
      <c r="O67" s="11">
        <v>5.3</v>
      </c>
      <c r="P67" s="5">
        <v>2</v>
      </c>
      <c r="Q67" s="6">
        <v>17</v>
      </c>
      <c r="R67" s="7">
        <v>42</v>
      </c>
      <c r="S67" s="9">
        <v>0</v>
      </c>
      <c r="T67" s="10">
        <v>8</v>
      </c>
      <c r="U67" s="11">
        <v>11</v>
      </c>
      <c r="W67" s="16" t="s">
        <v>49</v>
      </c>
      <c r="X67" s="34">
        <v>0</v>
      </c>
      <c r="Y67" s="34">
        <v>0</v>
      </c>
      <c r="Z67" s="34">
        <v>0</v>
      </c>
      <c r="AA67" s="35">
        <v>0</v>
      </c>
      <c r="AB67" s="35">
        <v>0</v>
      </c>
      <c r="AC67" s="35">
        <v>0</v>
      </c>
    </row>
    <row r="68" spans="1:41">
      <c r="C68" s="13" t="s">
        <v>26</v>
      </c>
      <c r="D68" s="13" t="str">
        <f>SUM(D60:D67)</f>
        <v>0</v>
      </c>
      <c r="E68" s="13" t="str">
        <f>SUM(E60:E67)</f>
        <v>0</v>
      </c>
      <c r="F68" s="13" t="str">
        <f>SUM(F60:F67)</f>
        <v>0</v>
      </c>
      <c r="G68" s="13" t="str">
        <f>SUM(G60:G67)</f>
        <v>0</v>
      </c>
      <c r="H68" s="13" t="str">
        <f>SUM(H60:H67)</f>
        <v>0</v>
      </c>
      <c r="I68" s="13" t="str">
        <f>SUM(I60:I67)</f>
        <v>0</v>
      </c>
      <c r="J68" s="13" t="str">
        <f>SUM(J60:J67)</f>
        <v>0</v>
      </c>
      <c r="K68" s="13" t="str">
        <f>SUM(K60:K67)</f>
        <v>0</v>
      </c>
      <c r="L68" s="13" t="str">
        <f>SUM(L60:L67)</f>
        <v>0</v>
      </c>
      <c r="M68" s="13" t="str">
        <f>SUM(M60:M67)</f>
        <v>0</v>
      </c>
      <c r="N68" s="13" t="str">
        <f>SUM(N60:N67)</f>
        <v>0</v>
      </c>
      <c r="O68" s="13" t="str">
        <f>SUM(O60:O67)</f>
        <v>0</v>
      </c>
      <c r="P68" s="13" t="str">
        <f>SUM(P60:P67)</f>
        <v>0</v>
      </c>
      <c r="Q68" s="13" t="str">
        <f>SUM(Q60:Q67)</f>
        <v>0</v>
      </c>
      <c r="R68" s="13" t="str">
        <f>SUM(R60:R67)</f>
        <v>0</v>
      </c>
      <c r="S68" s="13" t="str">
        <f>SUM(S60:S67)</f>
        <v>0</v>
      </c>
      <c r="T68" s="13" t="str">
        <f>SUM(T60:T67)</f>
        <v>0</v>
      </c>
      <c r="U68" s="13" t="str">
        <f>SUM(U60:U67)</f>
        <v>0</v>
      </c>
      <c r="W68" s="18" t="s">
        <v>26</v>
      </c>
      <c r="X68" s="18" t="str">
        <f>SUM(X43:X67)</f>
        <v>0</v>
      </c>
      <c r="Y68" s="18" t="str">
        <f>SUM(Y43:Y67)</f>
        <v>0</v>
      </c>
      <c r="Z68" s="18" t="str">
        <f>SUM(Z43:Z67)</f>
        <v>0</v>
      </c>
      <c r="AA68" s="18" t="str">
        <f>SUM(AA43:AA67)</f>
        <v>0</v>
      </c>
      <c r="AB68" s="18" t="str">
        <f>SUM(AB43:AB67)</f>
        <v>0</v>
      </c>
      <c r="AC68" s="18" t="str">
        <f>SUM(AC43:AC67)</f>
        <v>0</v>
      </c>
    </row>
    <row r="69" spans="1:41">
      <c r="A69"/>
      <c r="B69" s="14" t="s">
        <v>71</v>
      </c>
      <c r="C69" s="12" t="s">
        <v>16</v>
      </c>
      <c r="D69" s="5">
        <v>0</v>
      </c>
      <c r="E69" s="6">
        <v>0</v>
      </c>
      <c r="F69" s="7">
        <v>0</v>
      </c>
      <c r="G69" s="9">
        <v>0</v>
      </c>
      <c r="H69" s="10">
        <v>0</v>
      </c>
      <c r="I69" s="11">
        <v>0</v>
      </c>
      <c r="J69" s="5">
        <v>0</v>
      </c>
      <c r="K69" s="6">
        <v>0</v>
      </c>
      <c r="L69" s="7">
        <v>0</v>
      </c>
      <c r="M69" s="9">
        <v>0</v>
      </c>
      <c r="N69" s="10">
        <v>0</v>
      </c>
      <c r="O69" s="11">
        <v>0</v>
      </c>
      <c r="P69" s="5">
        <v>0</v>
      </c>
      <c r="Q69" s="6">
        <v>0</v>
      </c>
      <c r="R69" s="7">
        <v>0</v>
      </c>
      <c r="S69" s="9">
        <v>0</v>
      </c>
      <c r="T69" s="10">
        <v>0</v>
      </c>
      <c r="U69" s="11">
        <v>0</v>
      </c>
    </row>
    <row r="70" spans="1:41">
      <c r="A70"/>
      <c r="B70"/>
      <c r="C70" s="12" t="s">
        <v>18</v>
      </c>
      <c r="D70" s="5">
        <v>0</v>
      </c>
      <c r="E70" s="6">
        <v>0</v>
      </c>
      <c r="F70" s="7">
        <v>0</v>
      </c>
      <c r="G70" s="9">
        <v>0</v>
      </c>
      <c r="H70" s="10">
        <v>0</v>
      </c>
      <c r="I70" s="11">
        <v>0</v>
      </c>
      <c r="J70" s="5">
        <v>0</v>
      </c>
      <c r="K70" s="6">
        <v>0</v>
      </c>
      <c r="L70" s="7">
        <v>0</v>
      </c>
      <c r="M70" s="9">
        <v>0</v>
      </c>
      <c r="N70" s="10">
        <v>0</v>
      </c>
      <c r="O70" s="11">
        <v>0</v>
      </c>
      <c r="P70" s="5">
        <v>0</v>
      </c>
      <c r="Q70" s="6">
        <v>0</v>
      </c>
      <c r="R70" s="7">
        <v>0</v>
      </c>
      <c r="S70" s="9">
        <v>0</v>
      </c>
      <c r="T70" s="10">
        <v>0</v>
      </c>
      <c r="U70" s="11">
        <v>0</v>
      </c>
    </row>
    <row r="71" spans="1:41">
      <c r="A71"/>
      <c r="B71"/>
      <c r="C71" s="12" t="s">
        <v>20</v>
      </c>
      <c r="D71" s="5">
        <v>0</v>
      </c>
      <c r="E71" s="6">
        <v>0</v>
      </c>
      <c r="F71" s="7">
        <v>0</v>
      </c>
      <c r="G71" s="9">
        <v>0</v>
      </c>
      <c r="H71" s="10">
        <v>0</v>
      </c>
      <c r="I71" s="11">
        <v>0</v>
      </c>
      <c r="J71" s="5">
        <v>0</v>
      </c>
      <c r="K71" s="6">
        <v>0</v>
      </c>
      <c r="L71" s="7">
        <v>0</v>
      </c>
      <c r="M71" s="9">
        <v>0</v>
      </c>
      <c r="N71" s="10">
        <v>0</v>
      </c>
      <c r="O71" s="11">
        <v>0</v>
      </c>
      <c r="P71" s="5">
        <v>0</v>
      </c>
      <c r="Q71" s="6">
        <v>0</v>
      </c>
      <c r="R71" s="7">
        <v>0</v>
      </c>
      <c r="S71" s="9">
        <v>0</v>
      </c>
      <c r="T71" s="10">
        <v>0</v>
      </c>
      <c r="U71" s="11">
        <v>0</v>
      </c>
    </row>
    <row r="72" spans="1:41">
      <c r="A72"/>
      <c r="B72"/>
      <c r="C72" s="12" t="s">
        <v>36</v>
      </c>
      <c r="D72" s="5">
        <v>0</v>
      </c>
      <c r="E72" s="6">
        <v>1</v>
      </c>
      <c r="F72" s="7">
        <v>0</v>
      </c>
      <c r="G72" s="9">
        <v>0</v>
      </c>
      <c r="H72" s="10">
        <v>1</v>
      </c>
      <c r="I72" s="11">
        <v>0</v>
      </c>
      <c r="J72" s="5">
        <v>0</v>
      </c>
      <c r="K72" s="6">
        <v>3.41</v>
      </c>
      <c r="L72" s="7">
        <v>0</v>
      </c>
      <c r="M72" s="9">
        <v>0</v>
      </c>
      <c r="N72" s="10">
        <v>0.5</v>
      </c>
      <c r="O72" s="11">
        <v>0</v>
      </c>
      <c r="P72" s="5">
        <v>0</v>
      </c>
      <c r="Q72" s="6">
        <v>7</v>
      </c>
      <c r="R72" s="7">
        <v>0</v>
      </c>
      <c r="S72" s="9">
        <v>0</v>
      </c>
      <c r="T72" s="10">
        <v>1</v>
      </c>
      <c r="U72" s="11">
        <v>0</v>
      </c>
    </row>
    <row r="73" spans="1:41">
      <c r="A73"/>
      <c r="B73"/>
      <c r="C73" s="12" t="s">
        <v>23</v>
      </c>
      <c r="D73" s="5">
        <v>0</v>
      </c>
      <c r="E73" s="6">
        <v>4</v>
      </c>
      <c r="F73" s="7">
        <v>0</v>
      </c>
      <c r="G73" s="9">
        <v>0</v>
      </c>
      <c r="H73" s="10">
        <v>0</v>
      </c>
      <c r="I73" s="11">
        <v>0</v>
      </c>
      <c r="J73" s="5">
        <v>0</v>
      </c>
      <c r="K73" s="6">
        <v>9.12</v>
      </c>
      <c r="L73" s="7">
        <v>0</v>
      </c>
      <c r="M73" s="9">
        <v>0</v>
      </c>
      <c r="N73" s="10">
        <v>0</v>
      </c>
      <c r="O73" s="11">
        <v>0</v>
      </c>
      <c r="P73" s="5">
        <v>0</v>
      </c>
      <c r="Q73" s="6">
        <v>20</v>
      </c>
      <c r="R73" s="7">
        <v>0</v>
      </c>
      <c r="S73" s="9">
        <v>0</v>
      </c>
      <c r="T73" s="10">
        <v>0</v>
      </c>
      <c r="U73" s="11">
        <v>0</v>
      </c>
    </row>
    <row r="74" spans="1:41">
      <c r="C74" s="13" t="s">
        <v>26</v>
      </c>
      <c r="D74" s="13" t="str">
        <f>SUM(D69:D73)</f>
        <v>0</v>
      </c>
      <c r="E74" s="13" t="str">
        <f>SUM(E69:E73)</f>
        <v>0</v>
      </c>
      <c r="F74" s="13" t="str">
        <f>SUM(F69:F73)</f>
        <v>0</v>
      </c>
      <c r="G74" s="13" t="str">
        <f>SUM(G69:G73)</f>
        <v>0</v>
      </c>
      <c r="H74" s="13" t="str">
        <f>SUM(H69:H73)</f>
        <v>0</v>
      </c>
      <c r="I74" s="13" t="str">
        <f>SUM(I69:I73)</f>
        <v>0</v>
      </c>
      <c r="J74" s="13" t="str">
        <f>SUM(J69:J73)</f>
        <v>0</v>
      </c>
      <c r="K74" s="13" t="str">
        <f>SUM(K69:K73)</f>
        <v>0</v>
      </c>
      <c r="L74" s="13" t="str">
        <f>SUM(L69:L73)</f>
        <v>0</v>
      </c>
      <c r="M74" s="13" t="str">
        <f>SUM(M69:M73)</f>
        <v>0</v>
      </c>
      <c r="N74" s="13" t="str">
        <f>SUM(N69:N73)</f>
        <v>0</v>
      </c>
      <c r="O74" s="13" t="str">
        <f>SUM(O69:O73)</f>
        <v>0</v>
      </c>
      <c r="P74" s="13" t="str">
        <f>SUM(P69:P73)</f>
        <v>0</v>
      </c>
      <c r="Q74" s="13" t="str">
        <f>SUM(Q69:Q73)</f>
        <v>0</v>
      </c>
      <c r="R74" s="13" t="str">
        <f>SUM(R69:R73)</f>
        <v>0</v>
      </c>
      <c r="S74" s="13" t="str">
        <f>SUM(S69:S73)</f>
        <v>0</v>
      </c>
      <c r="T74" s="13" t="str">
        <f>SUM(T69:T73)</f>
        <v>0</v>
      </c>
      <c r="U74" s="13" t="str">
        <f>SUM(U69:U73)</f>
        <v>0</v>
      </c>
    </row>
    <row r="75" spans="1:41">
      <c r="A75" s="9" t="s">
        <v>72</v>
      </c>
      <c r="B75" s="11" t="s">
        <v>73</v>
      </c>
      <c r="C75" s="12" t="s">
        <v>16</v>
      </c>
      <c r="D75" s="5">
        <v>2</v>
      </c>
      <c r="E75" s="6">
        <v>31</v>
      </c>
      <c r="F75" s="7">
        <v>31</v>
      </c>
      <c r="G75" s="9">
        <v>1</v>
      </c>
      <c r="H75" s="10">
        <v>14</v>
      </c>
      <c r="I75" s="11">
        <v>14</v>
      </c>
      <c r="J75" s="5">
        <v>3.25</v>
      </c>
      <c r="K75" s="6">
        <v>45.47</v>
      </c>
      <c r="L75" s="7">
        <v>52.37</v>
      </c>
      <c r="M75" s="9">
        <v>1.9</v>
      </c>
      <c r="N75" s="10">
        <v>20.4</v>
      </c>
      <c r="O75" s="11">
        <v>20.88</v>
      </c>
      <c r="P75" s="5">
        <v>7</v>
      </c>
      <c r="Q75" s="6">
        <v>96</v>
      </c>
      <c r="R75" s="7">
        <v>107</v>
      </c>
      <c r="S75" s="9">
        <v>4</v>
      </c>
      <c r="T75" s="10">
        <v>43</v>
      </c>
      <c r="U75" s="11">
        <v>43</v>
      </c>
    </row>
    <row r="76" spans="1:41">
      <c r="A76"/>
      <c r="B76"/>
      <c r="C76" s="12" t="s">
        <v>17</v>
      </c>
      <c r="D76" s="5">
        <v>4</v>
      </c>
      <c r="E76" s="6">
        <v>312</v>
      </c>
      <c r="F76" s="7">
        <v>369</v>
      </c>
      <c r="G76" s="9">
        <v>2</v>
      </c>
      <c r="H76" s="10">
        <v>147</v>
      </c>
      <c r="I76" s="11">
        <v>192</v>
      </c>
      <c r="J76" s="5">
        <v>4.1</v>
      </c>
      <c r="K76" s="6">
        <v>348.56</v>
      </c>
      <c r="L76" s="7">
        <v>494.11</v>
      </c>
      <c r="M76" s="9">
        <v>1.59</v>
      </c>
      <c r="N76" s="10">
        <v>163.77</v>
      </c>
      <c r="O76" s="11">
        <v>232.2</v>
      </c>
      <c r="P76" s="5">
        <v>10</v>
      </c>
      <c r="Q76" s="6">
        <v>761</v>
      </c>
      <c r="R76" s="7">
        <v>1048</v>
      </c>
      <c r="S76" s="9">
        <v>4</v>
      </c>
      <c r="T76" s="10">
        <v>364</v>
      </c>
      <c r="U76" s="11">
        <v>496</v>
      </c>
    </row>
    <row r="77" spans="1:41">
      <c r="A77"/>
      <c r="B77"/>
      <c r="C77" s="12" t="s">
        <v>29</v>
      </c>
      <c r="D77" s="5">
        <v>12</v>
      </c>
      <c r="E77" s="6">
        <v>253</v>
      </c>
      <c r="F77" s="7">
        <v>308</v>
      </c>
      <c r="G77" s="9">
        <v>1</v>
      </c>
      <c r="H77" s="10">
        <v>113</v>
      </c>
      <c r="I77" s="11">
        <v>126</v>
      </c>
      <c r="J77" s="5">
        <v>14.44</v>
      </c>
      <c r="K77" s="6">
        <v>310.79</v>
      </c>
      <c r="L77" s="7">
        <v>431.13</v>
      </c>
      <c r="M77" s="9">
        <v>0.6</v>
      </c>
      <c r="N77" s="10">
        <v>151.75</v>
      </c>
      <c r="O77" s="11">
        <v>165.56</v>
      </c>
      <c r="P77" s="5">
        <v>32</v>
      </c>
      <c r="Q77" s="6">
        <v>662</v>
      </c>
      <c r="R77" s="7">
        <v>906</v>
      </c>
      <c r="S77" s="9">
        <v>2</v>
      </c>
      <c r="T77" s="10">
        <v>322</v>
      </c>
      <c r="U77" s="11">
        <v>351</v>
      </c>
    </row>
    <row r="78" spans="1:41">
      <c r="A78"/>
      <c r="B78"/>
      <c r="C78" s="12" t="s">
        <v>20</v>
      </c>
      <c r="D78" s="5">
        <v>10</v>
      </c>
      <c r="E78" s="6">
        <v>322</v>
      </c>
      <c r="F78" s="7">
        <v>284</v>
      </c>
      <c r="G78" s="9">
        <v>3</v>
      </c>
      <c r="H78" s="10">
        <v>129</v>
      </c>
      <c r="I78" s="11">
        <v>141</v>
      </c>
      <c r="J78" s="5">
        <v>14.37</v>
      </c>
      <c r="K78" s="6">
        <v>410.47</v>
      </c>
      <c r="L78" s="7">
        <v>412.4</v>
      </c>
      <c r="M78" s="9">
        <v>6.55</v>
      </c>
      <c r="N78" s="10">
        <v>149.96</v>
      </c>
      <c r="O78" s="11">
        <v>189.06</v>
      </c>
      <c r="P78" s="5">
        <v>30</v>
      </c>
      <c r="Q78" s="6">
        <v>897</v>
      </c>
      <c r="R78" s="7">
        <v>885</v>
      </c>
      <c r="S78" s="9">
        <v>14</v>
      </c>
      <c r="T78" s="10">
        <v>331</v>
      </c>
      <c r="U78" s="11">
        <v>410</v>
      </c>
    </row>
    <row r="79" spans="1:41">
      <c r="A79"/>
      <c r="B79"/>
      <c r="C79" s="12" t="s">
        <v>36</v>
      </c>
      <c r="D79" s="5">
        <v>7</v>
      </c>
      <c r="E79" s="6">
        <v>326</v>
      </c>
      <c r="F79" s="7">
        <v>297</v>
      </c>
      <c r="G79" s="9">
        <v>3</v>
      </c>
      <c r="H79" s="10">
        <v>147</v>
      </c>
      <c r="I79" s="11">
        <v>154</v>
      </c>
      <c r="J79" s="5">
        <v>9.34</v>
      </c>
      <c r="K79" s="6">
        <v>331.65</v>
      </c>
      <c r="L79" s="7">
        <v>317.48</v>
      </c>
      <c r="M79" s="9">
        <v>4</v>
      </c>
      <c r="N79" s="10">
        <v>134.98</v>
      </c>
      <c r="O79" s="11">
        <v>153.75</v>
      </c>
      <c r="P79" s="5">
        <v>20</v>
      </c>
      <c r="Q79" s="6">
        <v>739</v>
      </c>
      <c r="R79" s="7">
        <v>705</v>
      </c>
      <c r="S79" s="9">
        <v>8</v>
      </c>
      <c r="T79" s="10">
        <v>306</v>
      </c>
      <c r="U79" s="11">
        <v>351</v>
      </c>
    </row>
    <row r="80" spans="1:41">
      <c r="A80"/>
      <c r="B80"/>
      <c r="C80" s="12" t="s">
        <v>23</v>
      </c>
      <c r="D80" s="5">
        <v>0</v>
      </c>
      <c r="E80" s="6">
        <v>0</v>
      </c>
      <c r="F80" s="7">
        <v>1</v>
      </c>
      <c r="G80" s="9">
        <v>0</v>
      </c>
      <c r="H80" s="10">
        <v>0</v>
      </c>
      <c r="I80" s="11">
        <v>0</v>
      </c>
      <c r="J80" s="5">
        <v>0</v>
      </c>
      <c r="K80" s="6">
        <v>0</v>
      </c>
      <c r="L80" s="7">
        <v>1</v>
      </c>
      <c r="M80" s="9">
        <v>0</v>
      </c>
      <c r="N80" s="10">
        <v>0</v>
      </c>
      <c r="O80" s="11">
        <v>0</v>
      </c>
      <c r="P80" s="5">
        <v>0</v>
      </c>
      <c r="Q80" s="6">
        <v>0</v>
      </c>
      <c r="R80" s="7">
        <v>2</v>
      </c>
      <c r="S80" s="9">
        <v>0</v>
      </c>
      <c r="T80" s="10">
        <v>0</v>
      </c>
      <c r="U80" s="11">
        <v>0</v>
      </c>
    </row>
    <row r="81" spans="1:41">
      <c r="A81"/>
      <c r="B81"/>
      <c r="C81" s="12" t="s">
        <v>34</v>
      </c>
      <c r="D81" s="5">
        <v>27</v>
      </c>
      <c r="E81" s="6">
        <v>735</v>
      </c>
      <c r="F81" s="7">
        <v>806</v>
      </c>
      <c r="G81" s="9">
        <v>10</v>
      </c>
      <c r="H81" s="10">
        <v>312</v>
      </c>
      <c r="I81" s="11">
        <v>367</v>
      </c>
      <c r="J81" s="5">
        <v>33.07</v>
      </c>
      <c r="K81" s="6">
        <v>873.89</v>
      </c>
      <c r="L81" s="7">
        <v>1101.38</v>
      </c>
      <c r="M81" s="9">
        <v>10.09</v>
      </c>
      <c r="N81" s="10">
        <v>355.66</v>
      </c>
      <c r="O81" s="11">
        <v>427.4</v>
      </c>
      <c r="P81" s="5">
        <v>76</v>
      </c>
      <c r="Q81" s="6">
        <v>1910</v>
      </c>
      <c r="R81" s="7">
        <v>2403</v>
      </c>
      <c r="S81" s="9">
        <v>24</v>
      </c>
      <c r="T81" s="10">
        <v>794</v>
      </c>
      <c r="U81" s="11">
        <v>945</v>
      </c>
    </row>
    <row r="82" spans="1:41">
      <c r="C82" s="13" t="s">
        <v>26</v>
      </c>
      <c r="D82" s="13" t="str">
        <f>SUM(D75:D81)</f>
        <v>0</v>
      </c>
      <c r="E82" s="13" t="str">
        <f>SUM(E75:E81)</f>
        <v>0</v>
      </c>
      <c r="F82" s="13" t="str">
        <f>SUM(F75:F81)</f>
        <v>0</v>
      </c>
      <c r="G82" s="13" t="str">
        <f>SUM(G75:G81)</f>
        <v>0</v>
      </c>
      <c r="H82" s="13" t="str">
        <f>SUM(H75:H81)</f>
        <v>0</v>
      </c>
      <c r="I82" s="13" t="str">
        <f>SUM(I75:I81)</f>
        <v>0</v>
      </c>
      <c r="J82" s="13" t="str">
        <f>SUM(J75:J81)</f>
        <v>0</v>
      </c>
      <c r="K82" s="13" t="str">
        <f>SUM(K75:K81)</f>
        <v>0</v>
      </c>
      <c r="L82" s="13" t="str">
        <f>SUM(L75:L81)</f>
        <v>0</v>
      </c>
      <c r="M82" s="13" t="str">
        <f>SUM(M75:M81)</f>
        <v>0</v>
      </c>
      <c r="N82" s="13" t="str">
        <f>SUM(N75:N81)</f>
        <v>0</v>
      </c>
      <c r="O82" s="13" t="str">
        <f>SUM(O75:O81)</f>
        <v>0</v>
      </c>
      <c r="P82" s="13" t="str">
        <f>SUM(P75:P81)</f>
        <v>0</v>
      </c>
      <c r="Q82" s="13" t="str">
        <f>SUM(Q75:Q81)</f>
        <v>0</v>
      </c>
      <c r="R82" s="13" t="str">
        <f>SUM(R75:R81)</f>
        <v>0</v>
      </c>
      <c r="S82" s="13" t="str">
        <f>SUM(S75:S81)</f>
        <v>0</v>
      </c>
      <c r="T82" s="13" t="str">
        <f>SUM(T75:T81)</f>
        <v>0</v>
      </c>
      <c r="U82" s="13" t="str">
        <f>SUM(U75:U81)</f>
        <v>0</v>
      </c>
    </row>
    <row r="83" spans="1:41">
      <c r="A83"/>
      <c r="B83" s="14" t="s">
        <v>74</v>
      </c>
      <c r="C83" s="12" t="s">
        <v>16</v>
      </c>
      <c r="D83" s="5">
        <v>31</v>
      </c>
      <c r="E83" s="6">
        <v>548</v>
      </c>
      <c r="F83" s="7">
        <v>484</v>
      </c>
      <c r="G83" s="9">
        <v>14</v>
      </c>
      <c r="H83" s="10">
        <v>236</v>
      </c>
      <c r="I83" s="11">
        <v>328</v>
      </c>
      <c r="J83" s="5">
        <v>30.58</v>
      </c>
      <c r="K83" s="6">
        <v>811.59</v>
      </c>
      <c r="L83" s="7">
        <v>689.75</v>
      </c>
      <c r="M83" s="9">
        <v>14.96</v>
      </c>
      <c r="N83" s="10">
        <v>300.88</v>
      </c>
      <c r="O83" s="11">
        <v>417.59</v>
      </c>
      <c r="P83" s="5">
        <v>71</v>
      </c>
      <c r="Q83" s="6">
        <v>1752</v>
      </c>
      <c r="R83" s="7">
        <v>1496</v>
      </c>
      <c r="S83" s="9">
        <v>34</v>
      </c>
      <c r="T83" s="10">
        <v>667</v>
      </c>
      <c r="U83" s="11">
        <v>919</v>
      </c>
    </row>
    <row r="84" spans="1:41">
      <c r="A84"/>
      <c r="B84"/>
      <c r="C84" s="12" t="s">
        <v>17</v>
      </c>
      <c r="D84" s="5">
        <v>10</v>
      </c>
      <c r="E84" s="6">
        <v>344</v>
      </c>
      <c r="F84" s="7">
        <v>362</v>
      </c>
      <c r="G84" s="9">
        <v>3</v>
      </c>
      <c r="H84" s="10">
        <v>112</v>
      </c>
      <c r="I84" s="11">
        <v>176</v>
      </c>
      <c r="J84" s="5">
        <v>11.91</v>
      </c>
      <c r="K84" s="6">
        <v>418.57</v>
      </c>
      <c r="L84" s="7">
        <v>472.63</v>
      </c>
      <c r="M84" s="9">
        <v>4.01</v>
      </c>
      <c r="N84" s="10">
        <v>147.36</v>
      </c>
      <c r="O84" s="11">
        <v>213.35</v>
      </c>
      <c r="P84" s="5">
        <v>26</v>
      </c>
      <c r="Q84" s="6">
        <v>926</v>
      </c>
      <c r="R84" s="7">
        <v>1043</v>
      </c>
      <c r="S84" s="9">
        <v>9</v>
      </c>
      <c r="T84" s="10">
        <v>332</v>
      </c>
      <c r="U84" s="11">
        <v>477</v>
      </c>
    </row>
    <row r="85" spans="1:41">
      <c r="A85"/>
      <c r="B85"/>
      <c r="C85" s="12" t="s">
        <v>29</v>
      </c>
      <c r="D85" s="5">
        <v>6</v>
      </c>
      <c r="E85" s="6">
        <v>123</v>
      </c>
      <c r="F85" s="7">
        <v>157</v>
      </c>
      <c r="G85" s="9">
        <v>2</v>
      </c>
      <c r="H85" s="10">
        <v>42</v>
      </c>
      <c r="I85" s="11">
        <v>70</v>
      </c>
      <c r="J85" s="5">
        <v>6.76</v>
      </c>
      <c r="K85" s="6">
        <v>157.31</v>
      </c>
      <c r="L85" s="7">
        <v>197.14</v>
      </c>
      <c r="M85" s="9">
        <v>2.19</v>
      </c>
      <c r="N85" s="10">
        <v>66.85</v>
      </c>
      <c r="O85" s="11">
        <v>72.18</v>
      </c>
      <c r="P85" s="5">
        <v>15</v>
      </c>
      <c r="Q85" s="6">
        <v>340</v>
      </c>
      <c r="R85" s="7">
        <v>424</v>
      </c>
      <c r="S85" s="9">
        <v>5</v>
      </c>
      <c r="T85" s="10">
        <v>143</v>
      </c>
      <c r="U85" s="11">
        <v>160</v>
      </c>
    </row>
    <row r="86" spans="1:41">
      <c r="A86"/>
      <c r="B86"/>
      <c r="C86" s="12" t="s">
        <v>20</v>
      </c>
      <c r="D86" s="5">
        <v>88</v>
      </c>
      <c r="E86" s="6">
        <v>2128</v>
      </c>
      <c r="F86" s="7">
        <v>1718</v>
      </c>
      <c r="G86" s="9">
        <v>35</v>
      </c>
      <c r="H86" s="10">
        <v>977</v>
      </c>
      <c r="I86" s="11">
        <v>920</v>
      </c>
      <c r="J86" s="5">
        <v>110.28</v>
      </c>
      <c r="K86" s="6">
        <v>2884.55</v>
      </c>
      <c r="L86" s="7">
        <v>2432.67</v>
      </c>
      <c r="M86" s="9">
        <v>47.97</v>
      </c>
      <c r="N86" s="10">
        <v>1213.09</v>
      </c>
      <c r="O86" s="11">
        <v>1158.96</v>
      </c>
      <c r="P86" s="5">
        <v>243</v>
      </c>
      <c r="Q86" s="6">
        <v>6254</v>
      </c>
      <c r="R86" s="7">
        <v>5257</v>
      </c>
      <c r="S86" s="9">
        <v>108</v>
      </c>
      <c r="T86" s="10">
        <v>2641</v>
      </c>
      <c r="U86" s="11">
        <v>2557</v>
      </c>
    </row>
    <row r="87" spans="1:41">
      <c r="A87"/>
      <c r="B87"/>
      <c r="C87" s="12" t="s">
        <v>36</v>
      </c>
      <c r="D87" s="5">
        <v>3</v>
      </c>
      <c r="E87" s="6">
        <v>236</v>
      </c>
      <c r="F87" s="7">
        <v>305</v>
      </c>
      <c r="G87" s="9">
        <v>6</v>
      </c>
      <c r="H87" s="10">
        <v>107</v>
      </c>
      <c r="I87" s="11">
        <v>128</v>
      </c>
      <c r="J87" s="5">
        <v>4.6</v>
      </c>
      <c r="K87" s="6">
        <v>352.66</v>
      </c>
      <c r="L87" s="7">
        <v>421.11</v>
      </c>
      <c r="M87" s="9">
        <v>7.82</v>
      </c>
      <c r="N87" s="10">
        <v>155.26</v>
      </c>
      <c r="O87" s="11">
        <v>162.32</v>
      </c>
      <c r="P87" s="5">
        <v>10</v>
      </c>
      <c r="Q87" s="6">
        <v>744</v>
      </c>
      <c r="R87" s="7">
        <v>890</v>
      </c>
      <c r="S87" s="9">
        <v>18</v>
      </c>
      <c r="T87" s="10">
        <v>336</v>
      </c>
      <c r="U87" s="11">
        <v>357</v>
      </c>
    </row>
    <row r="88" spans="1:41">
      <c r="A88"/>
      <c r="B88"/>
      <c r="C88" s="12" t="s">
        <v>22</v>
      </c>
      <c r="D88" s="5">
        <v>4</v>
      </c>
      <c r="E88" s="6">
        <v>90</v>
      </c>
      <c r="F88" s="7">
        <v>107</v>
      </c>
      <c r="G88" s="9">
        <v>0</v>
      </c>
      <c r="H88" s="10">
        <v>24</v>
      </c>
      <c r="I88" s="11">
        <v>37</v>
      </c>
      <c r="J88" s="5">
        <v>6.1</v>
      </c>
      <c r="K88" s="6">
        <v>137.09</v>
      </c>
      <c r="L88" s="7">
        <v>166.85</v>
      </c>
      <c r="M88" s="9">
        <v>0</v>
      </c>
      <c r="N88" s="10">
        <v>26.57</v>
      </c>
      <c r="O88" s="11">
        <v>58.24</v>
      </c>
      <c r="P88" s="5">
        <v>13</v>
      </c>
      <c r="Q88" s="6">
        <v>292</v>
      </c>
      <c r="R88" s="7">
        <v>359</v>
      </c>
      <c r="S88" s="9">
        <v>0</v>
      </c>
      <c r="T88" s="10">
        <v>58</v>
      </c>
      <c r="U88" s="11">
        <v>123</v>
      </c>
    </row>
    <row r="89" spans="1:41">
      <c r="A89"/>
      <c r="B89"/>
      <c r="C89" s="12" t="s">
        <v>34</v>
      </c>
      <c r="D89" s="5">
        <v>26</v>
      </c>
      <c r="E89" s="6">
        <v>663</v>
      </c>
      <c r="F89" s="7">
        <v>741</v>
      </c>
      <c r="G89" s="9">
        <v>10</v>
      </c>
      <c r="H89" s="10">
        <v>273</v>
      </c>
      <c r="I89" s="11">
        <v>326</v>
      </c>
      <c r="J89" s="5">
        <v>38.34</v>
      </c>
      <c r="K89" s="6">
        <v>895.68</v>
      </c>
      <c r="L89" s="7">
        <v>992.84</v>
      </c>
      <c r="M89" s="9">
        <v>9.48</v>
      </c>
      <c r="N89" s="10">
        <v>363.7</v>
      </c>
      <c r="O89" s="11">
        <v>386.48</v>
      </c>
      <c r="P89" s="5">
        <v>79</v>
      </c>
      <c r="Q89" s="6">
        <v>1934</v>
      </c>
      <c r="R89" s="7">
        <v>2159</v>
      </c>
      <c r="S89" s="9">
        <v>21</v>
      </c>
      <c r="T89" s="10">
        <v>787</v>
      </c>
      <c r="U89" s="11">
        <v>844</v>
      </c>
    </row>
    <row r="90" spans="1:41">
      <c r="C90" s="13" t="s">
        <v>26</v>
      </c>
      <c r="D90" s="13" t="str">
        <f>SUM(D83:D89)</f>
        <v>0</v>
      </c>
      <c r="E90" s="13" t="str">
        <f>SUM(E83:E89)</f>
        <v>0</v>
      </c>
      <c r="F90" s="13" t="str">
        <f>SUM(F83:F89)</f>
        <v>0</v>
      </c>
      <c r="G90" s="13" t="str">
        <f>SUM(G83:G89)</f>
        <v>0</v>
      </c>
      <c r="H90" s="13" t="str">
        <f>SUM(H83:H89)</f>
        <v>0</v>
      </c>
      <c r="I90" s="13" t="str">
        <f>SUM(I83:I89)</f>
        <v>0</v>
      </c>
      <c r="J90" s="13" t="str">
        <f>SUM(J83:J89)</f>
        <v>0</v>
      </c>
      <c r="K90" s="13" t="str">
        <f>SUM(K83:K89)</f>
        <v>0</v>
      </c>
      <c r="L90" s="13" t="str">
        <f>SUM(L83:L89)</f>
        <v>0</v>
      </c>
      <c r="M90" s="13" t="str">
        <f>SUM(M83:M89)</f>
        <v>0</v>
      </c>
      <c r="N90" s="13" t="str">
        <f>SUM(N83:N89)</f>
        <v>0</v>
      </c>
      <c r="O90" s="13" t="str">
        <f>SUM(O83:O89)</f>
        <v>0</v>
      </c>
      <c r="P90" s="13" t="str">
        <f>SUM(P83:P89)</f>
        <v>0</v>
      </c>
      <c r="Q90" s="13" t="str">
        <f>SUM(Q83:Q89)</f>
        <v>0</v>
      </c>
      <c r="R90" s="13" t="str">
        <f>SUM(R83:R89)</f>
        <v>0</v>
      </c>
      <c r="S90" s="13" t="str">
        <f>SUM(S83:S89)</f>
        <v>0</v>
      </c>
      <c r="T90" s="13" t="str">
        <f>SUM(T83:T89)</f>
        <v>0</v>
      </c>
      <c r="U90" s="13" t="str">
        <f>SUM(U83:U89)</f>
        <v>0</v>
      </c>
    </row>
    <row r="91" spans="1:41">
      <c r="A91"/>
      <c r="B91" s="14" t="s">
        <v>75</v>
      </c>
      <c r="C91" s="12" t="s">
        <v>16</v>
      </c>
      <c r="D91" s="5">
        <v>57</v>
      </c>
      <c r="E91" s="6">
        <v>1236</v>
      </c>
      <c r="F91" s="7">
        <v>933</v>
      </c>
      <c r="G91" s="9">
        <v>33</v>
      </c>
      <c r="H91" s="10">
        <v>678</v>
      </c>
      <c r="I91" s="11">
        <v>550</v>
      </c>
      <c r="J91" s="5">
        <v>102.01</v>
      </c>
      <c r="K91" s="6">
        <v>1952.29</v>
      </c>
      <c r="L91" s="7">
        <v>1424.03</v>
      </c>
      <c r="M91" s="9">
        <v>53.85</v>
      </c>
      <c r="N91" s="10">
        <v>1026.23</v>
      </c>
      <c r="O91" s="11">
        <v>874.52</v>
      </c>
      <c r="P91" s="5">
        <v>212</v>
      </c>
      <c r="Q91" s="6">
        <v>4169</v>
      </c>
      <c r="R91" s="7">
        <v>3057</v>
      </c>
      <c r="S91" s="9">
        <v>114</v>
      </c>
      <c r="T91" s="10">
        <v>2201</v>
      </c>
      <c r="U91" s="11">
        <v>1874</v>
      </c>
    </row>
    <row r="92" spans="1:41">
      <c r="A92"/>
      <c r="B92"/>
      <c r="C92" s="12" t="s">
        <v>17</v>
      </c>
      <c r="D92" s="5">
        <v>20</v>
      </c>
      <c r="E92" s="6">
        <v>331</v>
      </c>
      <c r="F92" s="7">
        <v>237</v>
      </c>
      <c r="G92" s="9">
        <v>7</v>
      </c>
      <c r="H92" s="10">
        <v>169</v>
      </c>
      <c r="I92" s="11">
        <v>145</v>
      </c>
      <c r="J92" s="5">
        <v>24.37</v>
      </c>
      <c r="K92" s="6">
        <v>485.94</v>
      </c>
      <c r="L92" s="7">
        <v>372.94</v>
      </c>
      <c r="M92" s="9">
        <v>10.18</v>
      </c>
      <c r="N92" s="10">
        <v>282.48</v>
      </c>
      <c r="O92" s="11">
        <v>235</v>
      </c>
      <c r="P92" s="5">
        <v>52</v>
      </c>
      <c r="Q92" s="6">
        <v>1043</v>
      </c>
      <c r="R92" s="7">
        <v>794</v>
      </c>
      <c r="S92" s="9">
        <v>21</v>
      </c>
      <c r="T92" s="10">
        <v>600</v>
      </c>
      <c r="U92" s="11">
        <v>501</v>
      </c>
    </row>
    <row r="93" spans="1:41">
      <c r="A93"/>
      <c r="B93"/>
      <c r="C93" s="12" t="s">
        <v>29</v>
      </c>
      <c r="D93" s="5">
        <v>0</v>
      </c>
      <c r="E93" s="6">
        <v>0</v>
      </c>
      <c r="F93" s="7">
        <v>0</v>
      </c>
      <c r="G93" s="9">
        <v>0</v>
      </c>
      <c r="H93" s="10">
        <v>0</v>
      </c>
      <c r="I93" s="11">
        <v>0</v>
      </c>
      <c r="J93" s="5">
        <v>0</v>
      </c>
      <c r="K93" s="6">
        <v>0</v>
      </c>
      <c r="L93" s="7">
        <v>0</v>
      </c>
      <c r="M93" s="9">
        <v>0</v>
      </c>
      <c r="N93" s="10">
        <v>0</v>
      </c>
      <c r="O93" s="11">
        <v>0</v>
      </c>
      <c r="P93" s="5">
        <v>0</v>
      </c>
      <c r="Q93" s="6">
        <v>0</v>
      </c>
      <c r="R93" s="7">
        <v>0</v>
      </c>
      <c r="S93" s="9">
        <v>0</v>
      </c>
      <c r="T93" s="10">
        <v>0</v>
      </c>
      <c r="U93" s="11">
        <v>0</v>
      </c>
    </row>
    <row r="94" spans="1:41">
      <c r="A94"/>
      <c r="B94"/>
      <c r="C94" s="12" t="s">
        <v>20</v>
      </c>
      <c r="D94" s="5">
        <v>189</v>
      </c>
      <c r="E94" s="6">
        <v>4452</v>
      </c>
      <c r="F94" s="7">
        <v>2988</v>
      </c>
      <c r="G94" s="9">
        <v>110</v>
      </c>
      <c r="H94" s="10">
        <v>2291</v>
      </c>
      <c r="I94" s="11">
        <v>1778</v>
      </c>
      <c r="J94" s="5">
        <v>260.87</v>
      </c>
      <c r="K94" s="6">
        <v>6223.65</v>
      </c>
      <c r="L94" s="7">
        <v>4545.04</v>
      </c>
      <c r="M94" s="9">
        <v>164.7</v>
      </c>
      <c r="N94" s="10">
        <v>3183.18</v>
      </c>
      <c r="O94" s="11">
        <v>2531.45</v>
      </c>
      <c r="P94" s="5">
        <v>555</v>
      </c>
      <c r="Q94" s="6">
        <v>13361</v>
      </c>
      <c r="R94" s="7">
        <v>9707</v>
      </c>
      <c r="S94" s="9">
        <v>357</v>
      </c>
      <c r="T94" s="10">
        <v>6873</v>
      </c>
      <c r="U94" s="11">
        <v>5470</v>
      </c>
    </row>
    <row r="95" spans="1:41">
      <c r="A95"/>
      <c r="B95"/>
      <c r="C95" s="12" t="s">
        <v>36</v>
      </c>
      <c r="D95" s="5">
        <v>34</v>
      </c>
      <c r="E95" s="6">
        <v>538</v>
      </c>
      <c r="F95" s="7">
        <v>420</v>
      </c>
      <c r="G95" s="9">
        <v>14</v>
      </c>
      <c r="H95" s="10">
        <v>339</v>
      </c>
      <c r="I95" s="11">
        <v>258</v>
      </c>
      <c r="J95" s="5">
        <v>46.42</v>
      </c>
      <c r="K95" s="6">
        <v>731.2</v>
      </c>
      <c r="L95" s="7">
        <v>629.73</v>
      </c>
      <c r="M95" s="9">
        <v>22.41</v>
      </c>
      <c r="N95" s="10">
        <v>458.52</v>
      </c>
      <c r="O95" s="11">
        <v>349.29</v>
      </c>
      <c r="P95" s="5">
        <v>98</v>
      </c>
      <c r="Q95" s="6">
        <v>1561</v>
      </c>
      <c r="R95" s="7">
        <v>1340</v>
      </c>
      <c r="S95" s="9">
        <v>50</v>
      </c>
      <c r="T95" s="10">
        <v>988</v>
      </c>
      <c r="U95" s="11">
        <v>746</v>
      </c>
    </row>
    <row r="96" spans="1:41">
      <c r="A96"/>
      <c r="B96"/>
      <c r="C96" s="12" t="s">
        <v>22</v>
      </c>
      <c r="D96" s="5">
        <v>8</v>
      </c>
      <c r="E96" s="6">
        <v>141</v>
      </c>
      <c r="F96" s="7">
        <v>85</v>
      </c>
      <c r="G96" s="9">
        <v>1</v>
      </c>
      <c r="H96" s="10">
        <v>77</v>
      </c>
      <c r="I96" s="11">
        <v>60</v>
      </c>
      <c r="J96" s="5">
        <v>8.8</v>
      </c>
      <c r="K96" s="6">
        <v>142.22</v>
      </c>
      <c r="L96" s="7">
        <v>95.06</v>
      </c>
      <c r="M96" s="9">
        <v>0.2</v>
      </c>
      <c r="N96" s="10">
        <v>67.32</v>
      </c>
      <c r="O96" s="11">
        <v>56.52</v>
      </c>
      <c r="P96" s="5">
        <v>20</v>
      </c>
      <c r="Q96" s="6">
        <v>321</v>
      </c>
      <c r="R96" s="7">
        <v>210</v>
      </c>
      <c r="S96" s="9">
        <v>1</v>
      </c>
      <c r="T96" s="10">
        <v>156</v>
      </c>
      <c r="U96" s="11">
        <v>128</v>
      </c>
    </row>
    <row r="97" spans="1:41">
      <c r="A97"/>
      <c r="B97"/>
      <c r="C97" s="12" t="s">
        <v>23</v>
      </c>
      <c r="D97" s="5">
        <v>5</v>
      </c>
      <c r="E97" s="6">
        <v>63</v>
      </c>
      <c r="F97" s="7">
        <v>48</v>
      </c>
      <c r="G97" s="9">
        <v>1</v>
      </c>
      <c r="H97" s="10">
        <v>35</v>
      </c>
      <c r="I97" s="11">
        <v>42</v>
      </c>
      <c r="J97" s="5">
        <v>7.58</v>
      </c>
      <c r="K97" s="6">
        <v>65.48</v>
      </c>
      <c r="L97" s="7">
        <v>56.66</v>
      </c>
      <c r="M97" s="9">
        <v>0.46</v>
      </c>
      <c r="N97" s="10">
        <v>30.14</v>
      </c>
      <c r="O97" s="11">
        <v>43.83</v>
      </c>
      <c r="P97" s="5">
        <v>16</v>
      </c>
      <c r="Q97" s="6">
        <v>137</v>
      </c>
      <c r="R97" s="7">
        <v>119</v>
      </c>
      <c r="S97" s="9">
        <v>1</v>
      </c>
      <c r="T97" s="10">
        <v>65</v>
      </c>
      <c r="U97" s="11">
        <v>95</v>
      </c>
    </row>
    <row r="98" spans="1:41">
      <c r="A98"/>
      <c r="B98"/>
      <c r="C98" s="12" t="s">
        <v>34</v>
      </c>
      <c r="D98" s="5">
        <v>97</v>
      </c>
      <c r="E98" s="6">
        <v>1891</v>
      </c>
      <c r="F98" s="7">
        <v>1278</v>
      </c>
      <c r="G98" s="9">
        <v>31</v>
      </c>
      <c r="H98" s="10">
        <v>904</v>
      </c>
      <c r="I98" s="11">
        <v>660</v>
      </c>
      <c r="J98" s="5">
        <v>112.7</v>
      </c>
      <c r="K98" s="6">
        <v>2442.05</v>
      </c>
      <c r="L98" s="7">
        <v>1737.92</v>
      </c>
      <c r="M98" s="9">
        <v>47.99</v>
      </c>
      <c r="N98" s="10">
        <v>1120.67</v>
      </c>
      <c r="O98" s="11">
        <v>890.48</v>
      </c>
      <c r="P98" s="5">
        <v>240</v>
      </c>
      <c r="Q98" s="6">
        <v>5203</v>
      </c>
      <c r="R98" s="7">
        <v>3687</v>
      </c>
      <c r="S98" s="9">
        <v>102</v>
      </c>
      <c r="T98" s="10">
        <v>2411</v>
      </c>
      <c r="U98" s="11">
        <v>1908</v>
      </c>
    </row>
    <row r="99" spans="1:41">
      <c r="C99" s="13" t="s">
        <v>26</v>
      </c>
      <c r="D99" s="13" t="str">
        <f>SUM(D91:D98)</f>
        <v>0</v>
      </c>
      <c r="E99" s="13" t="str">
        <f>SUM(E91:E98)</f>
        <v>0</v>
      </c>
      <c r="F99" s="13" t="str">
        <f>SUM(F91:F98)</f>
        <v>0</v>
      </c>
      <c r="G99" s="13" t="str">
        <f>SUM(G91:G98)</f>
        <v>0</v>
      </c>
      <c r="H99" s="13" t="str">
        <f>SUM(H91:H98)</f>
        <v>0</v>
      </c>
      <c r="I99" s="13" t="str">
        <f>SUM(I91:I98)</f>
        <v>0</v>
      </c>
      <c r="J99" s="13" t="str">
        <f>SUM(J91:J98)</f>
        <v>0</v>
      </c>
      <c r="K99" s="13" t="str">
        <f>SUM(K91:K98)</f>
        <v>0</v>
      </c>
      <c r="L99" s="13" t="str">
        <f>SUM(L91:L98)</f>
        <v>0</v>
      </c>
      <c r="M99" s="13" t="str">
        <f>SUM(M91:M98)</f>
        <v>0</v>
      </c>
      <c r="N99" s="13" t="str">
        <f>SUM(N91:N98)</f>
        <v>0</v>
      </c>
      <c r="O99" s="13" t="str">
        <f>SUM(O91:O98)</f>
        <v>0</v>
      </c>
      <c r="P99" s="13" t="str">
        <f>SUM(P91:P98)</f>
        <v>0</v>
      </c>
      <c r="Q99" s="13" t="str">
        <f>SUM(Q91:Q98)</f>
        <v>0</v>
      </c>
      <c r="R99" s="13" t="str">
        <f>SUM(R91:R98)</f>
        <v>0</v>
      </c>
      <c r="S99" s="13" t="str">
        <f>SUM(S91:S98)</f>
        <v>0</v>
      </c>
      <c r="T99" s="13" t="str">
        <f>SUM(T91:T98)</f>
        <v>0</v>
      </c>
      <c r="U99" s="13" t="str">
        <f>SUM(U91:U98)</f>
        <v>0</v>
      </c>
    </row>
    <row r="100" spans="1:41">
      <c r="A100"/>
      <c r="B100" s="14" t="s">
        <v>76</v>
      </c>
      <c r="C100" s="12" t="s">
        <v>16</v>
      </c>
      <c r="D100" s="5">
        <v>31</v>
      </c>
      <c r="E100" s="6">
        <v>548</v>
      </c>
      <c r="F100" s="7">
        <v>419</v>
      </c>
      <c r="G100" s="9">
        <v>10</v>
      </c>
      <c r="H100" s="10">
        <v>233</v>
      </c>
      <c r="I100" s="11">
        <v>210</v>
      </c>
      <c r="J100" s="5">
        <v>67.68</v>
      </c>
      <c r="K100" s="6">
        <v>754.82</v>
      </c>
      <c r="L100" s="7">
        <v>620.01</v>
      </c>
      <c r="M100" s="9">
        <v>11.8</v>
      </c>
      <c r="N100" s="10">
        <v>367.45</v>
      </c>
      <c r="O100" s="11">
        <v>300.92</v>
      </c>
      <c r="P100" s="5">
        <v>140</v>
      </c>
      <c r="Q100" s="6">
        <v>1645</v>
      </c>
      <c r="R100" s="7">
        <v>1340</v>
      </c>
      <c r="S100" s="9">
        <v>25</v>
      </c>
      <c r="T100" s="10">
        <v>791</v>
      </c>
      <c r="U100" s="11">
        <v>661</v>
      </c>
    </row>
    <row r="101" spans="1:41">
      <c r="A101"/>
      <c r="B101"/>
      <c r="C101" s="12" t="s">
        <v>17</v>
      </c>
      <c r="D101" s="5">
        <v>22</v>
      </c>
      <c r="E101" s="6">
        <v>857</v>
      </c>
      <c r="F101" s="7">
        <v>789</v>
      </c>
      <c r="G101" s="9">
        <v>16</v>
      </c>
      <c r="H101" s="10">
        <v>294</v>
      </c>
      <c r="I101" s="11">
        <v>264</v>
      </c>
      <c r="J101" s="5">
        <v>24.34</v>
      </c>
      <c r="K101" s="6">
        <v>976.82</v>
      </c>
      <c r="L101" s="7">
        <v>976.77</v>
      </c>
      <c r="M101" s="9">
        <v>17.16</v>
      </c>
      <c r="N101" s="10">
        <v>323.06</v>
      </c>
      <c r="O101" s="11">
        <v>283.96</v>
      </c>
      <c r="P101" s="5">
        <v>53</v>
      </c>
      <c r="Q101" s="6">
        <v>2178</v>
      </c>
      <c r="R101" s="7">
        <v>2160</v>
      </c>
      <c r="S101" s="9">
        <v>38</v>
      </c>
      <c r="T101" s="10">
        <v>740</v>
      </c>
      <c r="U101" s="11">
        <v>644</v>
      </c>
    </row>
    <row r="102" spans="1:41">
      <c r="A102"/>
      <c r="B102"/>
      <c r="C102" s="12" t="s">
        <v>29</v>
      </c>
      <c r="D102" s="5">
        <v>3</v>
      </c>
      <c r="E102" s="6">
        <v>41</v>
      </c>
      <c r="F102" s="7">
        <v>39</v>
      </c>
      <c r="G102" s="9">
        <v>0</v>
      </c>
      <c r="H102" s="10">
        <v>19</v>
      </c>
      <c r="I102" s="11">
        <v>10</v>
      </c>
      <c r="J102" s="5">
        <v>4.3</v>
      </c>
      <c r="K102" s="6">
        <v>38.25</v>
      </c>
      <c r="L102" s="7">
        <v>43.06</v>
      </c>
      <c r="M102" s="9">
        <v>0</v>
      </c>
      <c r="N102" s="10">
        <v>18.22</v>
      </c>
      <c r="O102" s="11">
        <v>9.6</v>
      </c>
      <c r="P102" s="5">
        <v>9</v>
      </c>
      <c r="Q102" s="6">
        <v>85</v>
      </c>
      <c r="R102" s="7">
        <v>93</v>
      </c>
      <c r="S102" s="9">
        <v>0</v>
      </c>
      <c r="T102" s="10">
        <v>42</v>
      </c>
      <c r="U102" s="11">
        <v>21</v>
      </c>
    </row>
    <row r="103" spans="1:41">
      <c r="A103"/>
      <c r="B103"/>
      <c r="C103" s="12" t="s">
        <v>20</v>
      </c>
      <c r="D103" s="5">
        <v>98</v>
      </c>
      <c r="E103" s="6">
        <v>2407</v>
      </c>
      <c r="F103" s="7">
        <v>2006</v>
      </c>
      <c r="G103" s="9">
        <v>34</v>
      </c>
      <c r="H103" s="10">
        <v>878</v>
      </c>
      <c r="I103" s="11">
        <v>733</v>
      </c>
      <c r="J103" s="5">
        <v>138.93</v>
      </c>
      <c r="K103" s="6">
        <v>3381.26</v>
      </c>
      <c r="L103" s="7">
        <v>2750.59</v>
      </c>
      <c r="M103" s="9">
        <v>54.8</v>
      </c>
      <c r="N103" s="10">
        <v>1183.53</v>
      </c>
      <c r="O103" s="11">
        <v>942.32</v>
      </c>
      <c r="P103" s="5">
        <v>298</v>
      </c>
      <c r="Q103" s="6">
        <v>7376</v>
      </c>
      <c r="R103" s="7">
        <v>6039</v>
      </c>
      <c r="S103" s="9">
        <v>121</v>
      </c>
      <c r="T103" s="10">
        <v>2584</v>
      </c>
      <c r="U103" s="11">
        <v>2073</v>
      </c>
    </row>
    <row r="104" spans="1:41">
      <c r="A104"/>
      <c r="B104"/>
      <c r="C104" s="12" t="s">
        <v>36</v>
      </c>
      <c r="D104" s="5">
        <v>12</v>
      </c>
      <c r="E104" s="6">
        <v>257</v>
      </c>
      <c r="F104" s="7">
        <v>247</v>
      </c>
      <c r="G104" s="9">
        <v>6</v>
      </c>
      <c r="H104" s="10">
        <v>99</v>
      </c>
      <c r="I104" s="11">
        <v>86</v>
      </c>
      <c r="J104" s="5">
        <v>26.03</v>
      </c>
      <c r="K104" s="6">
        <v>524.01</v>
      </c>
      <c r="L104" s="7">
        <v>491.83</v>
      </c>
      <c r="M104" s="9">
        <v>11.67</v>
      </c>
      <c r="N104" s="10">
        <v>180.57</v>
      </c>
      <c r="O104" s="11">
        <v>139.03</v>
      </c>
      <c r="P104" s="5">
        <v>57</v>
      </c>
      <c r="Q104" s="6">
        <v>1115</v>
      </c>
      <c r="R104" s="7">
        <v>1043</v>
      </c>
      <c r="S104" s="9">
        <v>25</v>
      </c>
      <c r="T104" s="10">
        <v>385</v>
      </c>
      <c r="U104" s="11">
        <v>300</v>
      </c>
    </row>
    <row r="105" spans="1:41">
      <c r="A105"/>
      <c r="B105"/>
      <c r="C105" s="12" t="s">
        <v>34</v>
      </c>
      <c r="D105" s="5">
        <v>35</v>
      </c>
      <c r="E105" s="6">
        <v>810</v>
      </c>
      <c r="F105" s="7">
        <v>676</v>
      </c>
      <c r="G105" s="9">
        <v>11</v>
      </c>
      <c r="H105" s="10">
        <v>269</v>
      </c>
      <c r="I105" s="11">
        <v>181</v>
      </c>
      <c r="J105" s="5">
        <v>31.38</v>
      </c>
      <c r="K105" s="6">
        <v>940.24</v>
      </c>
      <c r="L105" s="7">
        <v>836.45</v>
      </c>
      <c r="M105" s="9">
        <v>10.01</v>
      </c>
      <c r="N105" s="10">
        <v>310.19</v>
      </c>
      <c r="O105" s="11">
        <v>201.05</v>
      </c>
      <c r="P105" s="5">
        <v>73</v>
      </c>
      <c r="Q105" s="6">
        <v>2092</v>
      </c>
      <c r="R105" s="7">
        <v>1835</v>
      </c>
      <c r="S105" s="9">
        <v>23</v>
      </c>
      <c r="T105" s="10">
        <v>691</v>
      </c>
      <c r="U105" s="11">
        <v>449</v>
      </c>
    </row>
    <row r="106" spans="1:41">
      <c r="C106" s="13" t="s">
        <v>26</v>
      </c>
      <c r="D106" s="13" t="str">
        <f>SUM(D100:D105)</f>
        <v>0</v>
      </c>
      <c r="E106" s="13" t="str">
        <f>SUM(E100:E105)</f>
        <v>0</v>
      </c>
      <c r="F106" s="13" t="str">
        <f>SUM(F100:F105)</f>
        <v>0</v>
      </c>
      <c r="G106" s="13" t="str">
        <f>SUM(G100:G105)</f>
        <v>0</v>
      </c>
      <c r="H106" s="13" t="str">
        <f>SUM(H100:H105)</f>
        <v>0</v>
      </c>
      <c r="I106" s="13" t="str">
        <f>SUM(I100:I105)</f>
        <v>0</v>
      </c>
      <c r="J106" s="13" t="str">
        <f>SUM(J100:J105)</f>
        <v>0</v>
      </c>
      <c r="K106" s="13" t="str">
        <f>SUM(K100:K105)</f>
        <v>0</v>
      </c>
      <c r="L106" s="13" t="str">
        <f>SUM(L100:L105)</f>
        <v>0</v>
      </c>
      <c r="M106" s="13" t="str">
        <f>SUM(M100:M105)</f>
        <v>0</v>
      </c>
      <c r="N106" s="13" t="str">
        <f>SUM(N100:N105)</f>
        <v>0</v>
      </c>
      <c r="O106" s="13" t="str">
        <f>SUM(O100:O105)</f>
        <v>0</v>
      </c>
      <c r="P106" s="13" t="str">
        <f>SUM(P100:P105)</f>
        <v>0</v>
      </c>
      <c r="Q106" s="13" t="str">
        <f>SUM(Q100:Q105)</f>
        <v>0</v>
      </c>
      <c r="R106" s="13" t="str">
        <f>SUM(R100:R105)</f>
        <v>0</v>
      </c>
      <c r="S106" s="13" t="str">
        <f>SUM(S100:S105)</f>
        <v>0</v>
      </c>
      <c r="T106" s="13" t="str">
        <f>SUM(T100:T105)</f>
        <v>0</v>
      </c>
      <c r="U106" s="13" t="str">
        <f>SUM(U100:U105)</f>
        <v>0</v>
      </c>
    </row>
    <row r="107" spans="1:41">
      <c r="A107"/>
      <c r="B107" s="14" t="s">
        <v>77</v>
      </c>
      <c r="C107" s="12" t="s">
        <v>16</v>
      </c>
      <c r="D107" s="5">
        <v>23</v>
      </c>
      <c r="E107" s="6">
        <v>528</v>
      </c>
      <c r="F107" s="7">
        <v>398</v>
      </c>
      <c r="G107" s="9">
        <v>4</v>
      </c>
      <c r="H107" s="10">
        <v>167</v>
      </c>
      <c r="I107" s="11">
        <v>120</v>
      </c>
      <c r="J107" s="5">
        <v>20.98</v>
      </c>
      <c r="K107" s="6">
        <v>577.43</v>
      </c>
      <c r="L107" s="7">
        <v>432.45</v>
      </c>
      <c r="M107" s="9">
        <v>4.61</v>
      </c>
      <c r="N107" s="10">
        <v>181.5</v>
      </c>
      <c r="O107" s="11">
        <v>133.46</v>
      </c>
      <c r="P107" s="5">
        <v>48</v>
      </c>
      <c r="Q107" s="6">
        <v>1253</v>
      </c>
      <c r="R107" s="7">
        <v>958</v>
      </c>
      <c r="S107" s="9">
        <v>11</v>
      </c>
      <c r="T107" s="10">
        <v>399</v>
      </c>
      <c r="U107" s="11">
        <v>296</v>
      </c>
    </row>
    <row r="108" spans="1:41">
      <c r="A108"/>
      <c r="B108"/>
      <c r="C108" s="12" t="s">
        <v>17</v>
      </c>
      <c r="D108" s="5">
        <v>21</v>
      </c>
      <c r="E108" s="6">
        <v>980</v>
      </c>
      <c r="F108" s="7">
        <v>714</v>
      </c>
      <c r="G108" s="9">
        <v>4</v>
      </c>
      <c r="H108" s="10">
        <v>231</v>
      </c>
      <c r="I108" s="11">
        <v>237</v>
      </c>
      <c r="J108" s="5">
        <v>17.83</v>
      </c>
      <c r="K108" s="6">
        <v>964.38</v>
      </c>
      <c r="L108" s="7">
        <v>773.26</v>
      </c>
      <c r="M108" s="9">
        <v>3.49</v>
      </c>
      <c r="N108" s="10">
        <v>220.32</v>
      </c>
      <c r="O108" s="11">
        <v>230.83</v>
      </c>
      <c r="P108" s="5">
        <v>39</v>
      </c>
      <c r="Q108" s="6">
        <v>2174</v>
      </c>
      <c r="R108" s="7">
        <v>1731</v>
      </c>
      <c r="S108" s="9">
        <v>9</v>
      </c>
      <c r="T108" s="10">
        <v>504</v>
      </c>
      <c r="U108" s="11">
        <v>534</v>
      </c>
    </row>
    <row r="109" spans="1:41">
      <c r="A109"/>
      <c r="B109"/>
      <c r="C109" s="12" t="s">
        <v>18</v>
      </c>
      <c r="D109" s="5">
        <v>0</v>
      </c>
      <c r="E109" s="6">
        <v>0</v>
      </c>
      <c r="F109" s="7">
        <v>0</v>
      </c>
      <c r="G109" s="9">
        <v>0</v>
      </c>
      <c r="H109" s="10">
        <v>0</v>
      </c>
      <c r="I109" s="11">
        <v>0</v>
      </c>
      <c r="J109" s="5">
        <v>0</v>
      </c>
      <c r="K109" s="6">
        <v>0</v>
      </c>
      <c r="L109" s="7">
        <v>0</v>
      </c>
      <c r="M109" s="9">
        <v>0</v>
      </c>
      <c r="N109" s="10">
        <v>0</v>
      </c>
      <c r="O109" s="11">
        <v>0</v>
      </c>
      <c r="P109" s="5">
        <v>0</v>
      </c>
      <c r="Q109" s="6">
        <v>0</v>
      </c>
      <c r="R109" s="7">
        <v>0</v>
      </c>
      <c r="S109" s="9">
        <v>0</v>
      </c>
      <c r="T109" s="10">
        <v>0</v>
      </c>
      <c r="U109" s="11">
        <v>0</v>
      </c>
    </row>
    <row r="110" spans="1:41">
      <c r="A110"/>
      <c r="B110"/>
      <c r="C110" s="12" t="s">
        <v>29</v>
      </c>
      <c r="D110" s="5">
        <v>9</v>
      </c>
      <c r="E110" s="6">
        <v>139</v>
      </c>
      <c r="F110" s="7">
        <v>85</v>
      </c>
      <c r="G110" s="9">
        <v>2</v>
      </c>
      <c r="H110" s="10">
        <v>22</v>
      </c>
      <c r="I110" s="11">
        <v>23</v>
      </c>
      <c r="J110" s="5">
        <v>10.69</v>
      </c>
      <c r="K110" s="6">
        <v>154.47</v>
      </c>
      <c r="L110" s="7">
        <v>109.12</v>
      </c>
      <c r="M110" s="9">
        <v>4.41</v>
      </c>
      <c r="N110" s="10">
        <v>36.19</v>
      </c>
      <c r="O110" s="11">
        <v>28.91</v>
      </c>
      <c r="P110" s="5">
        <v>24</v>
      </c>
      <c r="Q110" s="6">
        <v>335</v>
      </c>
      <c r="R110" s="7">
        <v>232</v>
      </c>
      <c r="S110" s="9">
        <v>9</v>
      </c>
      <c r="T110" s="10">
        <v>75</v>
      </c>
      <c r="U110" s="11">
        <v>64</v>
      </c>
    </row>
    <row r="111" spans="1:41">
      <c r="A111"/>
      <c r="B111"/>
      <c r="C111" s="12" t="s">
        <v>20</v>
      </c>
      <c r="D111" s="5">
        <v>92</v>
      </c>
      <c r="E111" s="6">
        <v>2938</v>
      </c>
      <c r="F111" s="7">
        <v>1853</v>
      </c>
      <c r="G111" s="9">
        <v>17</v>
      </c>
      <c r="H111" s="10">
        <v>749</v>
      </c>
      <c r="I111" s="11">
        <v>606</v>
      </c>
      <c r="J111" s="5">
        <v>83.99</v>
      </c>
      <c r="K111" s="6">
        <v>3035.63</v>
      </c>
      <c r="L111" s="7">
        <v>2052.62</v>
      </c>
      <c r="M111" s="9">
        <v>19.5</v>
      </c>
      <c r="N111" s="10">
        <v>735.23</v>
      </c>
      <c r="O111" s="11">
        <v>586.12</v>
      </c>
      <c r="P111" s="5">
        <v>181</v>
      </c>
      <c r="Q111" s="6">
        <v>6648</v>
      </c>
      <c r="R111" s="7">
        <v>4492</v>
      </c>
      <c r="S111" s="9">
        <v>42</v>
      </c>
      <c r="T111" s="10">
        <v>1637</v>
      </c>
      <c r="U111" s="11">
        <v>1337</v>
      </c>
    </row>
    <row r="112" spans="1:41">
      <c r="A112"/>
      <c r="B112"/>
      <c r="C112" s="12" t="s">
        <v>36</v>
      </c>
      <c r="D112" s="5">
        <v>7</v>
      </c>
      <c r="E112" s="6">
        <v>219</v>
      </c>
      <c r="F112" s="7">
        <v>118</v>
      </c>
      <c r="G112" s="9">
        <v>2</v>
      </c>
      <c r="H112" s="10">
        <v>56</v>
      </c>
      <c r="I112" s="11">
        <v>63</v>
      </c>
      <c r="J112" s="5">
        <v>7.24</v>
      </c>
      <c r="K112" s="6">
        <v>211.42</v>
      </c>
      <c r="L112" s="7">
        <v>105.98</v>
      </c>
      <c r="M112" s="9">
        <v>2.6</v>
      </c>
      <c r="N112" s="10">
        <v>48.86</v>
      </c>
      <c r="O112" s="11">
        <v>58.58</v>
      </c>
      <c r="P112" s="5">
        <v>17</v>
      </c>
      <c r="Q112" s="6">
        <v>477</v>
      </c>
      <c r="R112" s="7">
        <v>236</v>
      </c>
      <c r="S112" s="9">
        <v>6</v>
      </c>
      <c r="T112" s="10">
        <v>112</v>
      </c>
      <c r="U112" s="11">
        <v>133</v>
      </c>
    </row>
    <row r="113" spans="1:41">
      <c r="A113"/>
      <c r="B113"/>
      <c r="C113" s="12" t="s">
        <v>22</v>
      </c>
      <c r="D113" s="5">
        <v>0</v>
      </c>
      <c r="E113" s="6">
        <v>0</v>
      </c>
      <c r="F113" s="7">
        <v>0</v>
      </c>
      <c r="G113" s="9">
        <v>0</v>
      </c>
      <c r="H113" s="10">
        <v>0</v>
      </c>
      <c r="I113" s="11">
        <v>0</v>
      </c>
      <c r="J113" s="5">
        <v>0</v>
      </c>
      <c r="K113" s="6">
        <v>0</v>
      </c>
      <c r="L113" s="7">
        <v>0</v>
      </c>
      <c r="M113" s="9">
        <v>0</v>
      </c>
      <c r="N113" s="10">
        <v>0</v>
      </c>
      <c r="O113" s="11">
        <v>0</v>
      </c>
      <c r="P113" s="5">
        <v>0</v>
      </c>
      <c r="Q113" s="6">
        <v>0</v>
      </c>
      <c r="R113" s="7">
        <v>0</v>
      </c>
      <c r="S113" s="9">
        <v>0</v>
      </c>
      <c r="T113" s="10">
        <v>0</v>
      </c>
      <c r="U113" s="11">
        <v>0</v>
      </c>
    </row>
    <row r="114" spans="1:41">
      <c r="A114"/>
      <c r="B114"/>
      <c r="C114" s="12" t="s">
        <v>34</v>
      </c>
      <c r="D114" s="5">
        <v>42</v>
      </c>
      <c r="E114" s="6">
        <v>947</v>
      </c>
      <c r="F114" s="7">
        <v>687</v>
      </c>
      <c r="G114" s="9">
        <v>7</v>
      </c>
      <c r="H114" s="10">
        <v>251</v>
      </c>
      <c r="I114" s="11">
        <v>224</v>
      </c>
      <c r="J114" s="5">
        <v>48.41</v>
      </c>
      <c r="K114" s="6">
        <v>1007.7</v>
      </c>
      <c r="L114" s="7">
        <v>765.43</v>
      </c>
      <c r="M114" s="9">
        <v>7.26</v>
      </c>
      <c r="N114" s="10">
        <v>264.82</v>
      </c>
      <c r="O114" s="11">
        <v>236.67</v>
      </c>
      <c r="P114" s="5">
        <v>104</v>
      </c>
      <c r="Q114" s="6">
        <v>2194</v>
      </c>
      <c r="R114" s="7">
        <v>1671</v>
      </c>
      <c r="S114" s="9">
        <v>17</v>
      </c>
      <c r="T114" s="10">
        <v>585</v>
      </c>
      <c r="U114" s="11">
        <v>528</v>
      </c>
    </row>
    <row r="115" spans="1:41">
      <c r="A115"/>
      <c r="B115"/>
      <c r="C115" s="12" t="s">
        <v>38</v>
      </c>
      <c r="D115" s="5">
        <v>1</v>
      </c>
      <c r="E115" s="6">
        <v>49</v>
      </c>
      <c r="F115" s="7">
        <v>29</v>
      </c>
      <c r="G115" s="9">
        <v>0</v>
      </c>
      <c r="H115" s="10">
        <v>1</v>
      </c>
      <c r="I115" s="11">
        <v>6</v>
      </c>
      <c r="J115" s="5">
        <v>1.7</v>
      </c>
      <c r="K115" s="6">
        <v>42.98</v>
      </c>
      <c r="L115" s="7">
        <v>30.36</v>
      </c>
      <c r="M115" s="9">
        <v>0</v>
      </c>
      <c r="N115" s="10">
        <v>0.42</v>
      </c>
      <c r="O115" s="11">
        <v>4.78</v>
      </c>
      <c r="P115" s="5">
        <v>4</v>
      </c>
      <c r="Q115" s="6">
        <v>110</v>
      </c>
      <c r="R115" s="7">
        <v>72</v>
      </c>
      <c r="S115" s="9">
        <v>0</v>
      </c>
      <c r="T115" s="10">
        <v>1</v>
      </c>
      <c r="U115" s="11">
        <v>13</v>
      </c>
    </row>
    <row r="116" spans="1:41">
      <c r="C116" s="13" t="s">
        <v>26</v>
      </c>
      <c r="D116" s="13" t="str">
        <f>SUM(D107:D115)</f>
        <v>0</v>
      </c>
      <c r="E116" s="13" t="str">
        <f>SUM(E107:E115)</f>
        <v>0</v>
      </c>
      <c r="F116" s="13" t="str">
        <f>SUM(F107:F115)</f>
        <v>0</v>
      </c>
      <c r="G116" s="13" t="str">
        <f>SUM(G107:G115)</f>
        <v>0</v>
      </c>
      <c r="H116" s="13" t="str">
        <f>SUM(H107:H115)</f>
        <v>0</v>
      </c>
      <c r="I116" s="13" t="str">
        <f>SUM(I107:I115)</f>
        <v>0</v>
      </c>
      <c r="J116" s="13" t="str">
        <f>SUM(J107:J115)</f>
        <v>0</v>
      </c>
      <c r="K116" s="13" t="str">
        <f>SUM(K107:K115)</f>
        <v>0</v>
      </c>
      <c r="L116" s="13" t="str">
        <f>SUM(L107:L115)</f>
        <v>0</v>
      </c>
      <c r="M116" s="13" t="str">
        <f>SUM(M107:M115)</f>
        <v>0</v>
      </c>
      <c r="N116" s="13" t="str">
        <f>SUM(N107:N115)</f>
        <v>0</v>
      </c>
      <c r="O116" s="13" t="str">
        <f>SUM(O107:O115)</f>
        <v>0</v>
      </c>
      <c r="P116" s="13" t="str">
        <f>SUM(P107:P115)</f>
        <v>0</v>
      </c>
      <c r="Q116" s="13" t="str">
        <f>SUM(Q107:Q115)</f>
        <v>0</v>
      </c>
      <c r="R116" s="13" t="str">
        <f>SUM(R107:R115)</f>
        <v>0</v>
      </c>
      <c r="S116" s="13" t="str">
        <f>SUM(S107:S115)</f>
        <v>0</v>
      </c>
      <c r="T116" s="13" t="str">
        <f>SUM(T107:T115)</f>
        <v>0</v>
      </c>
      <c r="U116" s="13" t="str">
        <f>SUM(U107:U115)</f>
        <v>0</v>
      </c>
    </row>
    <row r="117" spans="1:41">
      <c r="A117"/>
      <c r="B117" s="14" t="s">
        <v>78</v>
      </c>
      <c r="C117" s="12" t="s">
        <v>16</v>
      </c>
      <c r="D117" s="5">
        <v>16</v>
      </c>
      <c r="E117" s="6">
        <v>559</v>
      </c>
      <c r="F117" s="7">
        <v>434</v>
      </c>
      <c r="G117" s="9">
        <v>19</v>
      </c>
      <c r="H117" s="10">
        <v>289</v>
      </c>
      <c r="I117" s="11">
        <v>176</v>
      </c>
      <c r="J117" s="5">
        <v>15.31</v>
      </c>
      <c r="K117" s="6">
        <v>579.08</v>
      </c>
      <c r="L117" s="7">
        <v>437.5</v>
      </c>
      <c r="M117" s="9">
        <v>16.04</v>
      </c>
      <c r="N117" s="10">
        <v>264.82</v>
      </c>
      <c r="O117" s="11">
        <v>170.86</v>
      </c>
      <c r="P117" s="5">
        <v>35</v>
      </c>
      <c r="Q117" s="6">
        <v>1334</v>
      </c>
      <c r="R117" s="7">
        <v>1018</v>
      </c>
      <c r="S117" s="9">
        <v>36</v>
      </c>
      <c r="T117" s="10">
        <v>618</v>
      </c>
      <c r="U117" s="11">
        <v>404</v>
      </c>
    </row>
    <row r="118" spans="1:41">
      <c r="A118"/>
      <c r="B118"/>
      <c r="C118" s="12" t="s">
        <v>17</v>
      </c>
      <c r="D118" s="5">
        <v>5</v>
      </c>
      <c r="E118" s="6">
        <v>193</v>
      </c>
      <c r="F118" s="7">
        <v>216</v>
      </c>
      <c r="G118" s="9">
        <v>2</v>
      </c>
      <c r="H118" s="10">
        <v>96</v>
      </c>
      <c r="I118" s="11">
        <v>70</v>
      </c>
      <c r="J118" s="5">
        <v>5.9</v>
      </c>
      <c r="K118" s="6">
        <v>217.56</v>
      </c>
      <c r="L118" s="7">
        <v>251.7</v>
      </c>
      <c r="M118" s="9">
        <v>1.7</v>
      </c>
      <c r="N118" s="10">
        <v>97.38</v>
      </c>
      <c r="O118" s="11">
        <v>67.43</v>
      </c>
      <c r="P118" s="5">
        <v>13</v>
      </c>
      <c r="Q118" s="6">
        <v>494</v>
      </c>
      <c r="R118" s="7">
        <v>565</v>
      </c>
      <c r="S118" s="9">
        <v>4</v>
      </c>
      <c r="T118" s="10">
        <v>226</v>
      </c>
      <c r="U118" s="11">
        <v>151</v>
      </c>
    </row>
    <row r="119" spans="1:41">
      <c r="A119"/>
      <c r="B119"/>
      <c r="C119" s="12" t="s">
        <v>29</v>
      </c>
      <c r="D119" s="5">
        <v>5</v>
      </c>
      <c r="E119" s="6">
        <v>198</v>
      </c>
      <c r="F119" s="7">
        <v>201</v>
      </c>
      <c r="G119" s="9">
        <v>4</v>
      </c>
      <c r="H119" s="10">
        <v>79</v>
      </c>
      <c r="I119" s="11">
        <v>74</v>
      </c>
      <c r="J119" s="5">
        <v>5.68</v>
      </c>
      <c r="K119" s="6">
        <v>222.32</v>
      </c>
      <c r="L119" s="7">
        <v>231.37</v>
      </c>
      <c r="M119" s="9">
        <v>2.83</v>
      </c>
      <c r="N119" s="10">
        <v>74.29</v>
      </c>
      <c r="O119" s="11">
        <v>70.87</v>
      </c>
      <c r="P119" s="5">
        <v>12</v>
      </c>
      <c r="Q119" s="6">
        <v>498</v>
      </c>
      <c r="R119" s="7">
        <v>517</v>
      </c>
      <c r="S119" s="9">
        <v>7</v>
      </c>
      <c r="T119" s="10">
        <v>176</v>
      </c>
      <c r="U119" s="11">
        <v>163</v>
      </c>
    </row>
    <row r="120" spans="1:41">
      <c r="A120"/>
      <c r="B120"/>
      <c r="C120" s="12" t="s">
        <v>20</v>
      </c>
      <c r="D120" s="5">
        <v>51</v>
      </c>
      <c r="E120" s="6">
        <v>1461</v>
      </c>
      <c r="F120" s="7">
        <v>1003</v>
      </c>
      <c r="G120" s="9">
        <v>17</v>
      </c>
      <c r="H120" s="10">
        <v>650</v>
      </c>
      <c r="I120" s="11">
        <v>444</v>
      </c>
      <c r="J120" s="5">
        <v>48.58</v>
      </c>
      <c r="K120" s="6">
        <v>1530.56</v>
      </c>
      <c r="L120" s="7">
        <v>1117.62</v>
      </c>
      <c r="M120" s="9">
        <v>13.52</v>
      </c>
      <c r="N120" s="10">
        <v>622.66</v>
      </c>
      <c r="O120" s="11">
        <v>476.38</v>
      </c>
      <c r="P120" s="5">
        <v>111</v>
      </c>
      <c r="Q120" s="6">
        <v>3567</v>
      </c>
      <c r="R120" s="7">
        <v>2571</v>
      </c>
      <c r="S120" s="9">
        <v>32</v>
      </c>
      <c r="T120" s="10">
        <v>1466</v>
      </c>
      <c r="U120" s="11">
        <v>1105</v>
      </c>
    </row>
    <row r="121" spans="1:41">
      <c r="A121"/>
      <c r="B121"/>
      <c r="C121" s="12" t="s">
        <v>36</v>
      </c>
      <c r="D121" s="5">
        <v>28</v>
      </c>
      <c r="E121" s="6">
        <v>469</v>
      </c>
      <c r="F121" s="7">
        <v>344</v>
      </c>
      <c r="G121" s="9">
        <v>12</v>
      </c>
      <c r="H121" s="10">
        <v>226</v>
      </c>
      <c r="I121" s="11">
        <v>139</v>
      </c>
      <c r="J121" s="5">
        <v>26.16</v>
      </c>
      <c r="K121" s="6">
        <v>502.7</v>
      </c>
      <c r="L121" s="7">
        <v>388.86</v>
      </c>
      <c r="M121" s="9">
        <v>9.45</v>
      </c>
      <c r="N121" s="10">
        <v>238.08</v>
      </c>
      <c r="O121" s="11">
        <v>140.58</v>
      </c>
      <c r="P121" s="5">
        <v>62</v>
      </c>
      <c r="Q121" s="6">
        <v>1142</v>
      </c>
      <c r="R121" s="7">
        <v>879</v>
      </c>
      <c r="S121" s="9">
        <v>21</v>
      </c>
      <c r="T121" s="10">
        <v>529</v>
      </c>
      <c r="U121" s="11">
        <v>318</v>
      </c>
    </row>
    <row r="122" spans="1:41">
      <c r="A122"/>
      <c r="B122"/>
      <c r="C122" s="12" t="s">
        <v>23</v>
      </c>
      <c r="D122" s="5">
        <v>14</v>
      </c>
      <c r="E122" s="6">
        <v>169</v>
      </c>
      <c r="F122" s="7">
        <v>134</v>
      </c>
      <c r="G122" s="9">
        <v>1</v>
      </c>
      <c r="H122" s="10">
        <v>60</v>
      </c>
      <c r="I122" s="11">
        <v>45</v>
      </c>
      <c r="J122" s="5">
        <v>17.93</v>
      </c>
      <c r="K122" s="6">
        <v>210.36</v>
      </c>
      <c r="L122" s="7">
        <v>173.82</v>
      </c>
      <c r="M122" s="9">
        <v>1</v>
      </c>
      <c r="N122" s="10">
        <v>63.49</v>
      </c>
      <c r="O122" s="11">
        <v>57.2</v>
      </c>
      <c r="P122" s="5">
        <v>39</v>
      </c>
      <c r="Q122" s="6">
        <v>460</v>
      </c>
      <c r="R122" s="7">
        <v>388</v>
      </c>
      <c r="S122" s="9">
        <v>2</v>
      </c>
      <c r="T122" s="10">
        <v>149</v>
      </c>
      <c r="U122" s="11">
        <v>128</v>
      </c>
    </row>
    <row r="123" spans="1:41">
      <c r="A123"/>
      <c r="B123"/>
      <c r="C123" s="12" t="s">
        <v>34</v>
      </c>
      <c r="D123" s="5">
        <v>29</v>
      </c>
      <c r="E123" s="6">
        <v>831</v>
      </c>
      <c r="F123" s="7">
        <v>663</v>
      </c>
      <c r="G123" s="9">
        <v>15</v>
      </c>
      <c r="H123" s="10">
        <v>333</v>
      </c>
      <c r="I123" s="11">
        <v>245</v>
      </c>
      <c r="J123" s="5">
        <v>37.29</v>
      </c>
      <c r="K123" s="6">
        <v>951.38</v>
      </c>
      <c r="L123" s="7">
        <v>814.05</v>
      </c>
      <c r="M123" s="9">
        <v>10.31</v>
      </c>
      <c r="N123" s="10">
        <v>332.21</v>
      </c>
      <c r="O123" s="11">
        <v>238.13</v>
      </c>
      <c r="P123" s="5">
        <v>82</v>
      </c>
      <c r="Q123" s="6">
        <v>2168</v>
      </c>
      <c r="R123" s="7">
        <v>1857</v>
      </c>
      <c r="S123" s="9">
        <v>26</v>
      </c>
      <c r="T123" s="10">
        <v>777</v>
      </c>
      <c r="U123" s="11">
        <v>570</v>
      </c>
    </row>
    <row r="124" spans="1:41">
      <c r="C124" s="13" t="s">
        <v>26</v>
      </c>
      <c r="D124" s="13" t="str">
        <f>SUM(D117:D123)</f>
        <v>0</v>
      </c>
      <c r="E124" s="13" t="str">
        <f>SUM(E117:E123)</f>
        <v>0</v>
      </c>
      <c r="F124" s="13" t="str">
        <f>SUM(F117:F123)</f>
        <v>0</v>
      </c>
      <c r="G124" s="13" t="str">
        <f>SUM(G117:G123)</f>
        <v>0</v>
      </c>
      <c r="H124" s="13" t="str">
        <f>SUM(H117:H123)</f>
        <v>0</v>
      </c>
      <c r="I124" s="13" t="str">
        <f>SUM(I117:I123)</f>
        <v>0</v>
      </c>
      <c r="J124" s="13" t="str">
        <f>SUM(J117:J123)</f>
        <v>0</v>
      </c>
      <c r="K124" s="13" t="str">
        <f>SUM(K117:K123)</f>
        <v>0</v>
      </c>
      <c r="L124" s="13" t="str">
        <f>SUM(L117:L123)</f>
        <v>0</v>
      </c>
      <c r="M124" s="13" t="str">
        <f>SUM(M117:M123)</f>
        <v>0</v>
      </c>
      <c r="N124" s="13" t="str">
        <f>SUM(N117:N123)</f>
        <v>0</v>
      </c>
      <c r="O124" s="13" t="str">
        <f>SUM(O117:O123)</f>
        <v>0</v>
      </c>
      <c r="P124" s="13" t="str">
        <f>SUM(P117:P123)</f>
        <v>0</v>
      </c>
      <c r="Q124" s="13" t="str">
        <f>SUM(Q117:Q123)</f>
        <v>0</v>
      </c>
      <c r="R124" s="13" t="str">
        <f>SUM(R117:R123)</f>
        <v>0</v>
      </c>
      <c r="S124" s="13" t="str">
        <f>SUM(S117:S123)</f>
        <v>0</v>
      </c>
      <c r="T124" s="13" t="str">
        <f>SUM(T117:T123)</f>
        <v>0</v>
      </c>
      <c r="U124" s="13" t="str">
        <f>SUM(U117:U123)</f>
        <v>0</v>
      </c>
    </row>
    <row r="125" spans="1:41">
      <c r="A125"/>
      <c r="B125" s="14" t="s">
        <v>79</v>
      </c>
      <c r="C125" s="12" t="s">
        <v>16</v>
      </c>
      <c r="D125" s="5">
        <v>9</v>
      </c>
      <c r="E125" s="6">
        <v>209</v>
      </c>
      <c r="F125" s="7">
        <v>112</v>
      </c>
      <c r="G125" s="9">
        <v>1</v>
      </c>
      <c r="H125" s="10">
        <v>95</v>
      </c>
      <c r="I125" s="11">
        <v>92</v>
      </c>
      <c r="J125" s="5">
        <v>7.77</v>
      </c>
      <c r="K125" s="6">
        <v>249.15</v>
      </c>
      <c r="L125" s="7">
        <v>149.92</v>
      </c>
      <c r="M125" s="9">
        <v>0.4</v>
      </c>
      <c r="N125" s="10">
        <v>109</v>
      </c>
      <c r="O125" s="11">
        <v>92.77</v>
      </c>
      <c r="P125" s="5">
        <v>17</v>
      </c>
      <c r="Q125" s="6">
        <v>548</v>
      </c>
      <c r="R125" s="7">
        <v>330</v>
      </c>
      <c r="S125" s="9">
        <v>1</v>
      </c>
      <c r="T125" s="10">
        <v>237</v>
      </c>
      <c r="U125" s="11">
        <v>210</v>
      </c>
    </row>
    <row r="126" spans="1:41">
      <c r="A126"/>
      <c r="B126"/>
      <c r="C126" s="12" t="s">
        <v>17</v>
      </c>
      <c r="D126" s="5">
        <v>0</v>
      </c>
      <c r="E126" s="6">
        <v>2</v>
      </c>
      <c r="F126" s="7">
        <v>0</v>
      </c>
      <c r="G126" s="9">
        <v>0</v>
      </c>
      <c r="H126" s="10">
        <v>0</v>
      </c>
      <c r="I126" s="11">
        <v>0</v>
      </c>
      <c r="J126" s="5">
        <v>0</v>
      </c>
      <c r="K126" s="6">
        <v>1</v>
      </c>
      <c r="L126" s="7">
        <v>0</v>
      </c>
      <c r="M126" s="9">
        <v>0</v>
      </c>
      <c r="N126" s="10">
        <v>0</v>
      </c>
      <c r="O126" s="11">
        <v>0</v>
      </c>
      <c r="P126" s="5">
        <v>0</v>
      </c>
      <c r="Q126" s="6">
        <v>2</v>
      </c>
      <c r="R126" s="7">
        <v>0</v>
      </c>
      <c r="S126" s="9">
        <v>0</v>
      </c>
      <c r="T126" s="10">
        <v>0</v>
      </c>
      <c r="U126" s="11">
        <v>0</v>
      </c>
    </row>
    <row r="127" spans="1:41">
      <c r="A127"/>
      <c r="B127"/>
      <c r="C127" s="12" t="s">
        <v>29</v>
      </c>
      <c r="D127" s="5">
        <v>1</v>
      </c>
      <c r="E127" s="6">
        <v>55</v>
      </c>
      <c r="F127" s="7">
        <v>22</v>
      </c>
      <c r="G127" s="9">
        <v>2</v>
      </c>
      <c r="H127" s="10">
        <v>18</v>
      </c>
      <c r="I127" s="11">
        <v>15</v>
      </c>
      <c r="J127" s="5">
        <v>1.5</v>
      </c>
      <c r="K127" s="6">
        <v>59.19</v>
      </c>
      <c r="L127" s="7">
        <v>22.17</v>
      </c>
      <c r="M127" s="9">
        <v>2.6</v>
      </c>
      <c r="N127" s="10">
        <v>19.19</v>
      </c>
      <c r="O127" s="11">
        <v>24.85</v>
      </c>
      <c r="P127" s="5">
        <v>3</v>
      </c>
      <c r="Q127" s="6">
        <v>136</v>
      </c>
      <c r="R127" s="7">
        <v>51</v>
      </c>
      <c r="S127" s="9">
        <v>6</v>
      </c>
      <c r="T127" s="10">
        <v>43</v>
      </c>
      <c r="U127" s="11">
        <v>54</v>
      </c>
    </row>
    <row r="128" spans="1:41">
      <c r="A128"/>
      <c r="B128"/>
      <c r="C128" s="12" t="s">
        <v>20</v>
      </c>
      <c r="D128" s="5">
        <v>22</v>
      </c>
      <c r="E128" s="6">
        <v>617</v>
      </c>
      <c r="F128" s="7">
        <v>312</v>
      </c>
      <c r="G128" s="9">
        <v>8</v>
      </c>
      <c r="H128" s="10">
        <v>307</v>
      </c>
      <c r="I128" s="11">
        <v>203</v>
      </c>
      <c r="J128" s="5">
        <v>26.14</v>
      </c>
      <c r="K128" s="6">
        <v>946.21</v>
      </c>
      <c r="L128" s="7">
        <v>472.93</v>
      </c>
      <c r="M128" s="9">
        <v>12.56</v>
      </c>
      <c r="N128" s="10">
        <v>425.25</v>
      </c>
      <c r="O128" s="11">
        <v>307.67</v>
      </c>
      <c r="P128" s="5">
        <v>57</v>
      </c>
      <c r="Q128" s="6">
        <v>2043</v>
      </c>
      <c r="R128" s="7">
        <v>1021</v>
      </c>
      <c r="S128" s="9">
        <v>28</v>
      </c>
      <c r="T128" s="10">
        <v>934</v>
      </c>
      <c r="U128" s="11">
        <v>671</v>
      </c>
    </row>
    <row r="129" spans="1:41">
      <c r="A129"/>
      <c r="B129"/>
      <c r="C129" s="12" t="s">
        <v>36</v>
      </c>
      <c r="D129" s="5">
        <v>3</v>
      </c>
      <c r="E129" s="6">
        <v>64</v>
      </c>
      <c r="F129" s="7">
        <v>44</v>
      </c>
      <c r="G129" s="9">
        <v>2</v>
      </c>
      <c r="H129" s="10">
        <v>32</v>
      </c>
      <c r="I129" s="11">
        <v>17</v>
      </c>
      <c r="J129" s="5">
        <v>3.3</v>
      </c>
      <c r="K129" s="6">
        <v>67.6</v>
      </c>
      <c r="L129" s="7">
        <v>45.04</v>
      </c>
      <c r="M129" s="9">
        <v>1.2</v>
      </c>
      <c r="N129" s="10">
        <v>28.47</v>
      </c>
      <c r="O129" s="11">
        <v>21.77</v>
      </c>
      <c r="P129" s="5">
        <v>7</v>
      </c>
      <c r="Q129" s="6">
        <v>148</v>
      </c>
      <c r="R129" s="7">
        <v>100</v>
      </c>
      <c r="S129" s="9">
        <v>3</v>
      </c>
      <c r="T129" s="10">
        <v>62</v>
      </c>
      <c r="U129" s="11">
        <v>49</v>
      </c>
    </row>
    <row r="130" spans="1:41">
      <c r="A130"/>
      <c r="B130"/>
      <c r="C130" s="12" t="s">
        <v>34</v>
      </c>
      <c r="D130" s="5">
        <v>8</v>
      </c>
      <c r="E130" s="6">
        <v>150</v>
      </c>
      <c r="F130" s="7">
        <v>67</v>
      </c>
      <c r="G130" s="9">
        <v>0</v>
      </c>
      <c r="H130" s="10">
        <v>41</v>
      </c>
      <c r="I130" s="11">
        <v>34</v>
      </c>
      <c r="J130" s="5">
        <v>9.33</v>
      </c>
      <c r="K130" s="6">
        <v>223.87</v>
      </c>
      <c r="L130" s="7">
        <v>97.01</v>
      </c>
      <c r="M130" s="9">
        <v>0</v>
      </c>
      <c r="N130" s="10">
        <v>70.61</v>
      </c>
      <c r="O130" s="11">
        <v>39.3</v>
      </c>
      <c r="P130" s="5">
        <v>20</v>
      </c>
      <c r="Q130" s="6">
        <v>479</v>
      </c>
      <c r="R130" s="7">
        <v>207</v>
      </c>
      <c r="S130" s="9">
        <v>0</v>
      </c>
      <c r="T130" s="10">
        <v>152</v>
      </c>
      <c r="U130" s="11">
        <v>86</v>
      </c>
    </row>
    <row r="131" spans="1:41">
      <c r="C131" s="13" t="s">
        <v>26</v>
      </c>
      <c r="D131" s="13" t="str">
        <f>SUM(D125:D130)</f>
        <v>0</v>
      </c>
      <c r="E131" s="13" t="str">
        <f>SUM(E125:E130)</f>
        <v>0</v>
      </c>
      <c r="F131" s="13" t="str">
        <f>SUM(F125:F130)</f>
        <v>0</v>
      </c>
      <c r="G131" s="13" t="str">
        <f>SUM(G125:G130)</f>
        <v>0</v>
      </c>
      <c r="H131" s="13" t="str">
        <f>SUM(H125:H130)</f>
        <v>0</v>
      </c>
      <c r="I131" s="13" t="str">
        <f>SUM(I125:I130)</f>
        <v>0</v>
      </c>
      <c r="J131" s="13" t="str">
        <f>SUM(J125:J130)</f>
        <v>0</v>
      </c>
      <c r="K131" s="13" t="str">
        <f>SUM(K125:K130)</f>
        <v>0</v>
      </c>
      <c r="L131" s="13" t="str">
        <f>SUM(L125:L130)</f>
        <v>0</v>
      </c>
      <c r="M131" s="13" t="str">
        <f>SUM(M125:M130)</f>
        <v>0</v>
      </c>
      <c r="N131" s="13" t="str">
        <f>SUM(N125:N130)</f>
        <v>0</v>
      </c>
      <c r="O131" s="13" t="str">
        <f>SUM(O125:O130)</f>
        <v>0</v>
      </c>
      <c r="P131" s="13" t="str">
        <f>SUM(P125:P130)</f>
        <v>0</v>
      </c>
      <c r="Q131" s="13" t="str">
        <f>SUM(Q125:Q130)</f>
        <v>0</v>
      </c>
      <c r="R131" s="13" t="str">
        <f>SUM(R125:R130)</f>
        <v>0</v>
      </c>
      <c r="S131" s="13" t="str">
        <f>SUM(S125:S130)</f>
        <v>0</v>
      </c>
      <c r="T131" s="13" t="str">
        <f>SUM(T125:T130)</f>
        <v>0</v>
      </c>
      <c r="U131" s="13" t="str">
        <f>SUM(U125:U130)</f>
        <v>0</v>
      </c>
    </row>
    <row r="132" spans="1:41">
      <c r="A132" s="9" t="s">
        <v>80</v>
      </c>
      <c r="B132" s="11" t="s">
        <v>81</v>
      </c>
      <c r="C132" s="12" t="s">
        <v>30</v>
      </c>
      <c r="D132" s="5">
        <v>2</v>
      </c>
      <c r="E132" s="6">
        <v>53</v>
      </c>
      <c r="F132" s="7">
        <v>38</v>
      </c>
      <c r="G132" s="9">
        <v>0</v>
      </c>
      <c r="H132" s="10">
        <v>19</v>
      </c>
      <c r="I132" s="11">
        <v>21</v>
      </c>
      <c r="J132" s="5">
        <v>1.46</v>
      </c>
      <c r="K132" s="6">
        <v>51.2</v>
      </c>
      <c r="L132" s="7">
        <v>36.79</v>
      </c>
      <c r="M132" s="9">
        <v>0</v>
      </c>
      <c r="N132" s="10">
        <v>14.1</v>
      </c>
      <c r="O132" s="11">
        <v>17.89</v>
      </c>
      <c r="P132" s="5">
        <v>3</v>
      </c>
      <c r="Q132" s="6">
        <v>110</v>
      </c>
      <c r="R132" s="7">
        <v>81</v>
      </c>
      <c r="S132" s="9">
        <v>0</v>
      </c>
      <c r="T132" s="10">
        <v>33</v>
      </c>
      <c r="U132" s="11">
        <v>40</v>
      </c>
    </row>
    <row r="133" spans="1:41">
      <c r="A133"/>
      <c r="B133"/>
      <c r="C133" s="12" t="s">
        <v>16</v>
      </c>
      <c r="D133" s="5">
        <v>9</v>
      </c>
      <c r="E133" s="6">
        <v>294</v>
      </c>
      <c r="F133" s="7">
        <v>222</v>
      </c>
      <c r="G133" s="9">
        <v>3</v>
      </c>
      <c r="H133" s="10">
        <v>98</v>
      </c>
      <c r="I133" s="11">
        <v>78</v>
      </c>
      <c r="J133" s="5">
        <v>6.91</v>
      </c>
      <c r="K133" s="6">
        <v>266.06</v>
      </c>
      <c r="L133" s="7">
        <v>220.64</v>
      </c>
      <c r="M133" s="9">
        <v>2.5</v>
      </c>
      <c r="N133" s="10">
        <v>72.73</v>
      </c>
      <c r="O133" s="11">
        <v>61.52</v>
      </c>
      <c r="P133" s="5">
        <v>16</v>
      </c>
      <c r="Q133" s="6">
        <v>603</v>
      </c>
      <c r="R133" s="7">
        <v>502</v>
      </c>
      <c r="S133" s="9">
        <v>6</v>
      </c>
      <c r="T133" s="10">
        <v>174</v>
      </c>
      <c r="U133" s="11">
        <v>139</v>
      </c>
    </row>
    <row r="134" spans="1:41">
      <c r="A134"/>
      <c r="B134"/>
      <c r="C134" s="12" t="s">
        <v>17</v>
      </c>
      <c r="D134" s="5">
        <v>5</v>
      </c>
      <c r="E134" s="6">
        <v>138</v>
      </c>
      <c r="F134" s="7">
        <v>97</v>
      </c>
      <c r="G134" s="9">
        <v>1</v>
      </c>
      <c r="H134" s="10">
        <v>60</v>
      </c>
      <c r="I134" s="11">
        <v>30</v>
      </c>
      <c r="J134" s="5">
        <v>5.55</v>
      </c>
      <c r="K134" s="6">
        <v>129.41</v>
      </c>
      <c r="L134" s="7">
        <v>96.07</v>
      </c>
      <c r="M134" s="9">
        <v>0.94</v>
      </c>
      <c r="N134" s="10">
        <v>45.73</v>
      </c>
      <c r="O134" s="11">
        <v>34.01</v>
      </c>
      <c r="P134" s="5">
        <v>12</v>
      </c>
      <c r="Q134" s="6">
        <v>287</v>
      </c>
      <c r="R134" s="7">
        <v>215</v>
      </c>
      <c r="S134" s="9">
        <v>2</v>
      </c>
      <c r="T134" s="10">
        <v>104</v>
      </c>
      <c r="U134" s="11">
        <v>75</v>
      </c>
    </row>
    <row r="135" spans="1:41">
      <c r="A135"/>
      <c r="B135"/>
      <c r="C135" s="12" t="s">
        <v>18</v>
      </c>
      <c r="D135" s="5">
        <v>4</v>
      </c>
      <c r="E135" s="6">
        <v>162</v>
      </c>
      <c r="F135" s="7">
        <v>92</v>
      </c>
      <c r="G135" s="9">
        <v>1</v>
      </c>
      <c r="H135" s="10">
        <v>73</v>
      </c>
      <c r="I135" s="11">
        <v>49</v>
      </c>
      <c r="J135" s="5">
        <v>6.5</v>
      </c>
      <c r="K135" s="6">
        <v>173.67</v>
      </c>
      <c r="L135" s="7">
        <v>99.93</v>
      </c>
      <c r="M135" s="9">
        <v>3</v>
      </c>
      <c r="N135" s="10">
        <v>64.89</v>
      </c>
      <c r="O135" s="11">
        <v>52.88</v>
      </c>
      <c r="P135" s="5">
        <v>13</v>
      </c>
      <c r="Q135" s="6">
        <v>376</v>
      </c>
      <c r="R135" s="7">
        <v>218</v>
      </c>
      <c r="S135" s="9">
        <v>6</v>
      </c>
      <c r="T135" s="10">
        <v>144</v>
      </c>
      <c r="U135" s="11">
        <v>115</v>
      </c>
    </row>
    <row r="136" spans="1:41">
      <c r="A136"/>
      <c r="B136"/>
      <c r="C136" s="12" t="s">
        <v>29</v>
      </c>
      <c r="D136" s="5">
        <v>6</v>
      </c>
      <c r="E136" s="6">
        <v>127</v>
      </c>
      <c r="F136" s="7">
        <v>84</v>
      </c>
      <c r="G136" s="9">
        <v>2</v>
      </c>
      <c r="H136" s="10">
        <v>32</v>
      </c>
      <c r="I136" s="11">
        <v>29</v>
      </c>
      <c r="J136" s="5">
        <v>12.7</v>
      </c>
      <c r="K136" s="6">
        <v>137.43</v>
      </c>
      <c r="L136" s="7">
        <v>83.6</v>
      </c>
      <c r="M136" s="9">
        <v>2.22</v>
      </c>
      <c r="N136" s="10">
        <v>35.03</v>
      </c>
      <c r="O136" s="11">
        <v>25.64</v>
      </c>
      <c r="P136" s="5">
        <v>26</v>
      </c>
      <c r="Q136" s="6">
        <v>301</v>
      </c>
      <c r="R136" s="7">
        <v>183</v>
      </c>
      <c r="S136" s="9">
        <v>5</v>
      </c>
      <c r="T136" s="10">
        <v>75</v>
      </c>
      <c r="U136" s="11">
        <v>58</v>
      </c>
    </row>
    <row r="137" spans="1:41">
      <c r="A137"/>
      <c r="B137"/>
      <c r="C137" s="12" t="s">
        <v>36</v>
      </c>
      <c r="D137" s="5">
        <v>12</v>
      </c>
      <c r="E137" s="6">
        <v>263</v>
      </c>
      <c r="F137" s="7">
        <v>173</v>
      </c>
      <c r="G137" s="9">
        <v>2</v>
      </c>
      <c r="H137" s="10">
        <v>70</v>
      </c>
      <c r="I137" s="11">
        <v>63</v>
      </c>
      <c r="J137" s="5">
        <v>12.96</v>
      </c>
      <c r="K137" s="6">
        <v>261.73</v>
      </c>
      <c r="L137" s="7">
        <v>169.87</v>
      </c>
      <c r="M137" s="9">
        <v>1</v>
      </c>
      <c r="N137" s="10">
        <v>70.52</v>
      </c>
      <c r="O137" s="11">
        <v>60.67</v>
      </c>
      <c r="P137" s="5">
        <v>30</v>
      </c>
      <c r="Q137" s="6">
        <v>584</v>
      </c>
      <c r="R137" s="7">
        <v>373</v>
      </c>
      <c r="S137" s="9">
        <v>2</v>
      </c>
      <c r="T137" s="10">
        <v>155</v>
      </c>
      <c r="U137" s="11">
        <v>138</v>
      </c>
    </row>
    <row r="138" spans="1:41">
      <c r="A138"/>
      <c r="B138"/>
      <c r="C138" s="12" t="s">
        <v>22</v>
      </c>
      <c r="D138" s="5">
        <v>2</v>
      </c>
      <c r="E138" s="6">
        <v>46</v>
      </c>
      <c r="F138" s="7">
        <v>39</v>
      </c>
      <c r="G138" s="9">
        <v>0</v>
      </c>
      <c r="H138" s="10">
        <v>20</v>
      </c>
      <c r="I138" s="11">
        <v>10</v>
      </c>
      <c r="J138" s="5">
        <v>1.59</v>
      </c>
      <c r="K138" s="6">
        <v>37.87</v>
      </c>
      <c r="L138" s="7">
        <v>31.95</v>
      </c>
      <c r="M138" s="9">
        <v>0</v>
      </c>
      <c r="N138" s="10">
        <v>12.88</v>
      </c>
      <c r="O138" s="11">
        <v>7.65</v>
      </c>
      <c r="P138" s="5">
        <v>4</v>
      </c>
      <c r="Q138" s="6">
        <v>86</v>
      </c>
      <c r="R138" s="7">
        <v>72</v>
      </c>
      <c r="S138" s="9">
        <v>0</v>
      </c>
      <c r="T138" s="10">
        <v>30</v>
      </c>
      <c r="U138" s="11">
        <v>18</v>
      </c>
    </row>
    <row r="139" spans="1:41">
      <c r="A139"/>
      <c r="B139"/>
      <c r="C139" s="12" t="s">
        <v>35</v>
      </c>
      <c r="D139" s="5">
        <v>1</v>
      </c>
      <c r="E139" s="6">
        <v>54</v>
      </c>
      <c r="F139" s="7">
        <v>45</v>
      </c>
      <c r="G139" s="9">
        <v>1</v>
      </c>
      <c r="H139" s="10">
        <v>14</v>
      </c>
      <c r="I139" s="11">
        <v>12</v>
      </c>
      <c r="J139" s="5">
        <v>0.3</v>
      </c>
      <c r="K139" s="6">
        <v>33.84</v>
      </c>
      <c r="L139" s="7">
        <v>21.84</v>
      </c>
      <c r="M139" s="9">
        <v>0.22</v>
      </c>
      <c r="N139" s="10">
        <v>7.05</v>
      </c>
      <c r="O139" s="11">
        <v>5.3</v>
      </c>
      <c r="P139" s="5">
        <v>1</v>
      </c>
      <c r="Q139" s="6">
        <v>85</v>
      </c>
      <c r="R139" s="7">
        <v>59</v>
      </c>
      <c r="S139" s="9">
        <v>1</v>
      </c>
      <c r="T139" s="10">
        <v>19</v>
      </c>
      <c r="U139" s="11">
        <v>15</v>
      </c>
    </row>
    <row r="140" spans="1:41">
      <c r="C140" s="13" t="s">
        <v>26</v>
      </c>
      <c r="D140" s="13" t="str">
        <f>SUM(D132:D139)</f>
        <v>0</v>
      </c>
      <c r="E140" s="13" t="str">
        <f>SUM(E132:E139)</f>
        <v>0</v>
      </c>
      <c r="F140" s="13" t="str">
        <f>SUM(F132:F139)</f>
        <v>0</v>
      </c>
      <c r="G140" s="13" t="str">
        <f>SUM(G132:G139)</f>
        <v>0</v>
      </c>
      <c r="H140" s="13" t="str">
        <f>SUM(H132:H139)</f>
        <v>0</v>
      </c>
      <c r="I140" s="13" t="str">
        <f>SUM(I132:I139)</f>
        <v>0</v>
      </c>
      <c r="J140" s="13" t="str">
        <f>SUM(J132:J139)</f>
        <v>0</v>
      </c>
      <c r="K140" s="13" t="str">
        <f>SUM(K132:K139)</f>
        <v>0</v>
      </c>
      <c r="L140" s="13" t="str">
        <f>SUM(L132:L139)</f>
        <v>0</v>
      </c>
      <c r="M140" s="13" t="str">
        <f>SUM(M132:M139)</f>
        <v>0</v>
      </c>
      <c r="N140" s="13" t="str">
        <f>SUM(N132:N139)</f>
        <v>0</v>
      </c>
      <c r="O140" s="13" t="str">
        <f>SUM(O132:O139)</f>
        <v>0</v>
      </c>
      <c r="P140" s="13" t="str">
        <f>SUM(P132:P139)</f>
        <v>0</v>
      </c>
      <c r="Q140" s="13" t="str">
        <f>SUM(Q132:Q139)</f>
        <v>0</v>
      </c>
      <c r="R140" s="13" t="str">
        <f>SUM(R132:R139)</f>
        <v>0</v>
      </c>
      <c r="S140" s="13" t="str">
        <f>SUM(S132:S139)</f>
        <v>0</v>
      </c>
      <c r="T140" s="13" t="str">
        <f>SUM(T132:T139)</f>
        <v>0</v>
      </c>
      <c r="U140" s="13" t="str">
        <f>SUM(U132:U139)</f>
        <v>0</v>
      </c>
    </row>
    <row r="141" spans="1:41">
      <c r="A141"/>
      <c r="B141" s="14" t="s">
        <v>82</v>
      </c>
      <c r="C141" s="12" t="s">
        <v>30</v>
      </c>
      <c r="D141" s="5">
        <v>1</v>
      </c>
      <c r="E141" s="6">
        <v>61</v>
      </c>
      <c r="F141" s="7">
        <v>66</v>
      </c>
      <c r="G141" s="9">
        <v>1</v>
      </c>
      <c r="H141" s="10">
        <v>31</v>
      </c>
      <c r="I141" s="11">
        <v>40</v>
      </c>
      <c r="J141" s="5">
        <v>1.78</v>
      </c>
      <c r="K141" s="6">
        <v>83.96</v>
      </c>
      <c r="L141" s="7">
        <v>102.56</v>
      </c>
      <c r="M141" s="9">
        <v>1</v>
      </c>
      <c r="N141" s="10">
        <v>40.45</v>
      </c>
      <c r="O141" s="11">
        <v>57.96</v>
      </c>
      <c r="P141" s="5">
        <v>4</v>
      </c>
      <c r="Q141" s="6">
        <v>187</v>
      </c>
      <c r="R141" s="7">
        <v>230</v>
      </c>
      <c r="S141" s="9">
        <v>2</v>
      </c>
      <c r="T141" s="10">
        <v>94</v>
      </c>
      <c r="U141" s="11">
        <v>128</v>
      </c>
    </row>
    <row r="142" spans="1:41">
      <c r="A142"/>
      <c r="B142"/>
      <c r="C142" s="12" t="s">
        <v>16</v>
      </c>
      <c r="D142" s="5">
        <v>0</v>
      </c>
      <c r="E142" s="6">
        <v>7</v>
      </c>
      <c r="F142" s="7">
        <v>4</v>
      </c>
      <c r="G142" s="9">
        <v>0</v>
      </c>
      <c r="H142" s="10">
        <v>2</v>
      </c>
      <c r="I142" s="11">
        <v>0</v>
      </c>
      <c r="J142" s="5">
        <v>0</v>
      </c>
      <c r="K142" s="6">
        <v>8</v>
      </c>
      <c r="L142" s="7">
        <v>5</v>
      </c>
      <c r="M142" s="9">
        <v>0</v>
      </c>
      <c r="N142" s="10">
        <v>2</v>
      </c>
      <c r="O142" s="11">
        <v>0</v>
      </c>
      <c r="P142" s="5">
        <v>0</v>
      </c>
      <c r="Q142" s="6">
        <v>16</v>
      </c>
      <c r="R142" s="7">
        <v>10</v>
      </c>
      <c r="S142" s="9">
        <v>0</v>
      </c>
      <c r="T142" s="10">
        <v>4</v>
      </c>
      <c r="U142" s="11">
        <v>0</v>
      </c>
    </row>
    <row r="143" spans="1:41">
      <c r="A143"/>
      <c r="B143"/>
      <c r="C143" s="12" t="s">
        <v>17</v>
      </c>
      <c r="D143" s="5">
        <v>0</v>
      </c>
      <c r="E143" s="6">
        <v>27</v>
      </c>
      <c r="F143" s="7">
        <v>31</v>
      </c>
      <c r="G143" s="9">
        <v>0</v>
      </c>
      <c r="H143" s="10">
        <v>1</v>
      </c>
      <c r="I143" s="11">
        <v>1</v>
      </c>
      <c r="J143" s="5">
        <v>0</v>
      </c>
      <c r="K143" s="6">
        <v>59.8</v>
      </c>
      <c r="L143" s="7">
        <v>77.57</v>
      </c>
      <c r="M143" s="9">
        <v>0</v>
      </c>
      <c r="N143" s="10">
        <v>2</v>
      </c>
      <c r="O143" s="11">
        <v>3</v>
      </c>
      <c r="P143" s="5">
        <v>0</v>
      </c>
      <c r="Q143" s="6">
        <v>122</v>
      </c>
      <c r="R143" s="7">
        <v>158</v>
      </c>
      <c r="S143" s="9">
        <v>0</v>
      </c>
      <c r="T143" s="10">
        <v>4</v>
      </c>
      <c r="U143" s="11">
        <v>6</v>
      </c>
    </row>
    <row r="144" spans="1:41">
      <c r="A144"/>
      <c r="B144"/>
      <c r="C144" s="12" t="s">
        <v>18</v>
      </c>
      <c r="D144" s="5">
        <v>0</v>
      </c>
      <c r="E144" s="6">
        <v>94</v>
      </c>
      <c r="F144" s="7">
        <v>122</v>
      </c>
      <c r="G144" s="9">
        <v>1</v>
      </c>
      <c r="H144" s="10">
        <v>34</v>
      </c>
      <c r="I144" s="11">
        <v>42</v>
      </c>
      <c r="J144" s="5">
        <v>0</v>
      </c>
      <c r="K144" s="6">
        <v>132.81</v>
      </c>
      <c r="L144" s="7">
        <v>191.31</v>
      </c>
      <c r="M144" s="9">
        <v>0.95</v>
      </c>
      <c r="N144" s="10">
        <v>46.57</v>
      </c>
      <c r="O144" s="11">
        <v>59.48</v>
      </c>
      <c r="P144" s="5">
        <v>0</v>
      </c>
      <c r="Q144" s="6">
        <v>277</v>
      </c>
      <c r="R144" s="7">
        <v>396</v>
      </c>
      <c r="S144" s="9">
        <v>2</v>
      </c>
      <c r="T144" s="10">
        <v>97</v>
      </c>
      <c r="U144" s="11">
        <v>125</v>
      </c>
    </row>
    <row r="145" spans="1:41">
      <c r="A145"/>
      <c r="B145"/>
      <c r="C145" s="12" t="s">
        <v>20</v>
      </c>
      <c r="D145" s="5">
        <v>0</v>
      </c>
      <c r="E145" s="6">
        <v>42</v>
      </c>
      <c r="F145" s="7">
        <v>24</v>
      </c>
      <c r="G145" s="9">
        <v>2</v>
      </c>
      <c r="H145" s="10">
        <v>13</v>
      </c>
      <c r="I145" s="11">
        <v>19</v>
      </c>
      <c r="J145" s="5">
        <v>0</v>
      </c>
      <c r="K145" s="6">
        <v>52.8</v>
      </c>
      <c r="L145" s="7">
        <v>34.2</v>
      </c>
      <c r="M145" s="9">
        <v>1.7</v>
      </c>
      <c r="N145" s="10">
        <v>15.37</v>
      </c>
      <c r="O145" s="11">
        <v>32.65</v>
      </c>
      <c r="P145" s="5">
        <v>0</v>
      </c>
      <c r="Q145" s="6">
        <v>116</v>
      </c>
      <c r="R145" s="7">
        <v>71</v>
      </c>
      <c r="S145" s="9">
        <v>4</v>
      </c>
      <c r="T145" s="10">
        <v>35</v>
      </c>
      <c r="U145" s="11">
        <v>69</v>
      </c>
    </row>
    <row r="146" spans="1:41">
      <c r="A146"/>
      <c r="B146"/>
      <c r="C146" s="12" t="s">
        <v>23</v>
      </c>
      <c r="D146" s="5">
        <v>2</v>
      </c>
      <c r="E146" s="6">
        <v>38</v>
      </c>
      <c r="F146" s="7">
        <v>37</v>
      </c>
      <c r="G146" s="9">
        <v>0</v>
      </c>
      <c r="H146" s="10">
        <v>12</v>
      </c>
      <c r="I146" s="11">
        <v>8</v>
      </c>
      <c r="J146" s="5">
        <v>4.8</v>
      </c>
      <c r="K146" s="6">
        <v>79.3</v>
      </c>
      <c r="L146" s="7">
        <v>89.72</v>
      </c>
      <c r="M146" s="9">
        <v>0</v>
      </c>
      <c r="N146" s="10">
        <v>27.3</v>
      </c>
      <c r="O146" s="11">
        <v>21.1</v>
      </c>
      <c r="P146" s="5">
        <v>10</v>
      </c>
      <c r="Q146" s="6">
        <v>163</v>
      </c>
      <c r="R146" s="7">
        <v>182</v>
      </c>
      <c r="S146" s="9">
        <v>0</v>
      </c>
      <c r="T146" s="10">
        <v>56</v>
      </c>
      <c r="U146" s="11">
        <v>43</v>
      </c>
    </row>
    <row r="147" spans="1:41">
      <c r="A147"/>
      <c r="B147"/>
      <c r="C147" s="12" t="s">
        <v>39</v>
      </c>
      <c r="D147" s="5">
        <v>1</v>
      </c>
      <c r="E147" s="6">
        <v>28</v>
      </c>
      <c r="F147" s="7">
        <v>35</v>
      </c>
      <c r="G147" s="9">
        <v>0</v>
      </c>
      <c r="H147" s="10">
        <v>3</v>
      </c>
      <c r="I147" s="11">
        <v>3</v>
      </c>
      <c r="J147" s="5">
        <v>2.5</v>
      </c>
      <c r="K147" s="6">
        <v>57.64</v>
      </c>
      <c r="L147" s="7">
        <v>67.19</v>
      </c>
      <c r="M147" s="9">
        <v>0</v>
      </c>
      <c r="N147" s="10">
        <v>7.5</v>
      </c>
      <c r="O147" s="11">
        <v>7.4</v>
      </c>
      <c r="P147" s="5">
        <v>5</v>
      </c>
      <c r="Q147" s="6">
        <v>117</v>
      </c>
      <c r="R147" s="7">
        <v>137</v>
      </c>
      <c r="S147" s="9">
        <v>0</v>
      </c>
      <c r="T147" s="10">
        <v>15</v>
      </c>
      <c r="U147" s="11">
        <v>16</v>
      </c>
    </row>
    <row r="148" spans="1:41">
      <c r="A148"/>
      <c r="B148"/>
      <c r="C148" s="12" t="s">
        <v>35</v>
      </c>
      <c r="D148" s="5">
        <v>3</v>
      </c>
      <c r="E148" s="6">
        <v>62</v>
      </c>
      <c r="F148" s="7">
        <v>45</v>
      </c>
      <c r="G148" s="9">
        <v>0</v>
      </c>
      <c r="H148" s="10">
        <v>22</v>
      </c>
      <c r="I148" s="11">
        <v>16</v>
      </c>
      <c r="J148" s="5">
        <v>5</v>
      </c>
      <c r="K148" s="6">
        <v>93.11</v>
      </c>
      <c r="L148" s="7">
        <v>65.47</v>
      </c>
      <c r="M148" s="9">
        <v>0</v>
      </c>
      <c r="N148" s="10">
        <v>33.02</v>
      </c>
      <c r="O148" s="11">
        <v>21.61</v>
      </c>
      <c r="P148" s="5">
        <v>10</v>
      </c>
      <c r="Q148" s="6">
        <v>195</v>
      </c>
      <c r="R148" s="7">
        <v>138</v>
      </c>
      <c r="S148" s="9">
        <v>0</v>
      </c>
      <c r="T148" s="10">
        <v>68</v>
      </c>
      <c r="U148" s="11">
        <v>47</v>
      </c>
    </row>
    <row r="149" spans="1:41">
      <c r="C149" s="13" t="s">
        <v>26</v>
      </c>
      <c r="D149" s="13" t="str">
        <f>SUM(D141:D148)</f>
        <v>0</v>
      </c>
      <c r="E149" s="13" t="str">
        <f>SUM(E141:E148)</f>
        <v>0</v>
      </c>
      <c r="F149" s="13" t="str">
        <f>SUM(F141:F148)</f>
        <v>0</v>
      </c>
      <c r="G149" s="13" t="str">
        <f>SUM(G141:G148)</f>
        <v>0</v>
      </c>
      <c r="H149" s="13" t="str">
        <f>SUM(H141:H148)</f>
        <v>0</v>
      </c>
      <c r="I149" s="13" t="str">
        <f>SUM(I141:I148)</f>
        <v>0</v>
      </c>
      <c r="J149" s="13" t="str">
        <f>SUM(J141:J148)</f>
        <v>0</v>
      </c>
      <c r="K149" s="13" t="str">
        <f>SUM(K141:K148)</f>
        <v>0</v>
      </c>
      <c r="L149" s="13" t="str">
        <f>SUM(L141:L148)</f>
        <v>0</v>
      </c>
      <c r="M149" s="13" t="str">
        <f>SUM(M141:M148)</f>
        <v>0</v>
      </c>
      <c r="N149" s="13" t="str">
        <f>SUM(N141:N148)</f>
        <v>0</v>
      </c>
      <c r="O149" s="13" t="str">
        <f>SUM(O141:O148)</f>
        <v>0</v>
      </c>
      <c r="P149" s="13" t="str">
        <f>SUM(P141:P148)</f>
        <v>0</v>
      </c>
      <c r="Q149" s="13" t="str">
        <f>SUM(Q141:Q148)</f>
        <v>0</v>
      </c>
      <c r="R149" s="13" t="str">
        <f>SUM(R141:R148)</f>
        <v>0</v>
      </c>
      <c r="S149" s="13" t="str">
        <f>SUM(S141:S148)</f>
        <v>0</v>
      </c>
      <c r="T149" s="13" t="str">
        <f>SUM(T141:T148)</f>
        <v>0</v>
      </c>
      <c r="U149" s="13" t="str">
        <f>SUM(U141:U148)</f>
        <v>0</v>
      </c>
    </row>
    <row r="150" spans="1:41">
      <c r="A150"/>
      <c r="B150" s="14" t="s">
        <v>83</v>
      </c>
      <c r="C150" s="12" t="s">
        <v>30</v>
      </c>
      <c r="D150" s="5">
        <v>1</v>
      </c>
      <c r="E150" s="6">
        <v>34</v>
      </c>
      <c r="F150" s="7">
        <v>40</v>
      </c>
      <c r="G150" s="9">
        <v>2</v>
      </c>
      <c r="H150" s="10">
        <v>13</v>
      </c>
      <c r="I150" s="11">
        <v>20</v>
      </c>
      <c r="J150" s="5">
        <v>2.5</v>
      </c>
      <c r="K150" s="6">
        <v>40.54</v>
      </c>
      <c r="L150" s="7">
        <v>65.02</v>
      </c>
      <c r="M150" s="9">
        <v>2.7</v>
      </c>
      <c r="N150" s="10">
        <v>13.5</v>
      </c>
      <c r="O150" s="11">
        <v>25.6</v>
      </c>
      <c r="P150" s="5">
        <v>5</v>
      </c>
      <c r="Q150" s="6">
        <v>93</v>
      </c>
      <c r="R150" s="7">
        <v>142</v>
      </c>
      <c r="S150" s="9">
        <v>6</v>
      </c>
      <c r="T150" s="10">
        <v>31</v>
      </c>
      <c r="U150" s="11">
        <v>58</v>
      </c>
    </row>
    <row r="151" spans="1:41">
      <c r="A151"/>
      <c r="B151"/>
      <c r="C151" s="12" t="s">
        <v>16</v>
      </c>
      <c r="D151" s="5">
        <v>13</v>
      </c>
      <c r="E151" s="6">
        <v>205</v>
      </c>
      <c r="F151" s="7">
        <v>196</v>
      </c>
      <c r="G151" s="9">
        <v>4</v>
      </c>
      <c r="H151" s="10">
        <v>76</v>
      </c>
      <c r="I151" s="11">
        <v>78</v>
      </c>
      <c r="J151" s="5">
        <v>18.1</v>
      </c>
      <c r="K151" s="6">
        <v>281.43</v>
      </c>
      <c r="L151" s="7">
        <v>265.68</v>
      </c>
      <c r="M151" s="9">
        <v>5.2</v>
      </c>
      <c r="N151" s="10">
        <v>100.95</v>
      </c>
      <c r="O151" s="11">
        <v>93.28</v>
      </c>
      <c r="P151" s="5">
        <v>40</v>
      </c>
      <c r="Q151" s="6">
        <v>617</v>
      </c>
      <c r="R151" s="7">
        <v>581</v>
      </c>
      <c r="S151" s="9">
        <v>11</v>
      </c>
      <c r="T151" s="10">
        <v>225</v>
      </c>
      <c r="U151" s="11">
        <v>200</v>
      </c>
    </row>
    <row r="152" spans="1:41">
      <c r="A152"/>
      <c r="B152"/>
      <c r="C152" s="12" t="s">
        <v>17</v>
      </c>
      <c r="D152" s="5">
        <v>0</v>
      </c>
      <c r="E152" s="6">
        <v>19</v>
      </c>
      <c r="F152" s="7">
        <v>25</v>
      </c>
      <c r="G152" s="9">
        <v>0</v>
      </c>
      <c r="H152" s="10">
        <v>5</v>
      </c>
      <c r="I152" s="11">
        <v>4</v>
      </c>
      <c r="J152" s="5">
        <v>0</v>
      </c>
      <c r="K152" s="6">
        <v>36.2</v>
      </c>
      <c r="L152" s="7">
        <v>39.52</v>
      </c>
      <c r="M152" s="9">
        <v>0</v>
      </c>
      <c r="N152" s="10">
        <v>11.2</v>
      </c>
      <c r="O152" s="11">
        <v>7.9</v>
      </c>
      <c r="P152" s="5">
        <v>0</v>
      </c>
      <c r="Q152" s="6">
        <v>75</v>
      </c>
      <c r="R152" s="7">
        <v>84</v>
      </c>
      <c r="S152" s="9">
        <v>0</v>
      </c>
      <c r="T152" s="10">
        <v>24</v>
      </c>
      <c r="U152" s="11">
        <v>17</v>
      </c>
    </row>
    <row r="153" spans="1:41">
      <c r="A153"/>
      <c r="B153"/>
      <c r="C153" s="12" t="s">
        <v>18</v>
      </c>
      <c r="D153" s="5">
        <v>40</v>
      </c>
      <c r="E153" s="6">
        <v>1059</v>
      </c>
      <c r="F153" s="7">
        <v>1039</v>
      </c>
      <c r="G153" s="9">
        <v>10</v>
      </c>
      <c r="H153" s="10">
        <v>470</v>
      </c>
      <c r="I153" s="11">
        <v>508</v>
      </c>
      <c r="J153" s="5">
        <v>48.5</v>
      </c>
      <c r="K153" s="6">
        <v>1208.64</v>
      </c>
      <c r="L153" s="7">
        <v>1284.39</v>
      </c>
      <c r="M153" s="9">
        <v>11.29</v>
      </c>
      <c r="N153" s="10">
        <v>550.68</v>
      </c>
      <c r="O153" s="11">
        <v>610.81</v>
      </c>
      <c r="P153" s="5">
        <v>104</v>
      </c>
      <c r="Q153" s="6">
        <v>2716</v>
      </c>
      <c r="R153" s="7">
        <v>2834</v>
      </c>
      <c r="S153" s="9">
        <v>26</v>
      </c>
      <c r="T153" s="10">
        <v>1241</v>
      </c>
      <c r="U153" s="11">
        <v>1367</v>
      </c>
    </row>
    <row r="154" spans="1:41">
      <c r="A154"/>
      <c r="B154"/>
      <c r="C154" s="12" t="s">
        <v>29</v>
      </c>
      <c r="D154" s="5">
        <v>16</v>
      </c>
      <c r="E154" s="6">
        <v>500</v>
      </c>
      <c r="F154" s="7">
        <v>531</v>
      </c>
      <c r="G154" s="9">
        <v>5</v>
      </c>
      <c r="H154" s="10">
        <v>157</v>
      </c>
      <c r="I154" s="11">
        <v>183</v>
      </c>
      <c r="J154" s="5">
        <v>17.25</v>
      </c>
      <c r="K154" s="6">
        <v>508.5</v>
      </c>
      <c r="L154" s="7">
        <v>566.98</v>
      </c>
      <c r="M154" s="9">
        <v>11.9</v>
      </c>
      <c r="N154" s="10">
        <v>159.29</v>
      </c>
      <c r="O154" s="11">
        <v>215.1</v>
      </c>
      <c r="P154" s="5">
        <v>38</v>
      </c>
      <c r="Q154" s="6">
        <v>1170</v>
      </c>
      <c r="R154" s="7">
        <v>1295</v>
      </c>
      <c r="S154" s="9">
        <v>25</v>
      </c>
      <c r="T154" s="10">
        <v>362</v>
      </c>
      <c r="U154" s="11">
        <v>482</v>
      </c>
    </row>
    <row r="155" spans="1:41">
      <c r="A155"/>
      <c r="B155"/>
      <c r="C155" s="12" t="s">
        <v>20</v>
      </c>
      <c r="D155" s="5">
        <v>6</v>
      </c>
      <c r="E155" s="6">
        <v>240</v>
      </c>
      <c r="F155" s="7">
        <v>210</v>
      </c>
      <c r="G155" s="9">
        <v>7</v>
      </c>
      <c r="H155" s="10">
        <v>124</v>
      </c>
      <c r="I155" s="11">
        <v>105</v>
      </c>
      <c r="J155" s="5">
        <v>10.23</v>
      </c>
      <c r="K155" s="6">
        <v>326.48</v>
      </c>
      <c r="L155" s="7">
        <v>296.44</v>
      </c>
      <c r="M155" s="9">
        <v>8.8</v>
      </c>
      <c r="N155" s="10">
        <v>152.62</v>
      </c>
      <c r="O155" s="11">
        <v>100.74</v>
      </c>
      <c r="P155" s="5">
        <v>21</v>
      </c>
      <c r="Q155" s="6">
        <v>730</v>
      </c>
      <c r="R155" s="7">
        <v>646</v>
      </c>
      <c r="S155" s="9">
        <v>20</v>
      </c>
      <c r="T155" s="10">
        <v>341</v>
      </c>
      <c r="U155" s="11">
        <v>231</v>
      </c>
    </row>
    <row r="156" spans="1:41">
      <c r="A156"/>
      <c r="B156"/>
      <c r="C156" s="12" t="s">
        <v>36</v>
      </c>
      <c r="D156" s="5">
        <v>6</v>
      </c>
      <c r="E156" s="6">
        <v>173</v>
      </c>
      <c r="F156" s="7">
        <v>126</v>
      </c>
      <c r="G156" s="9">
        <v>2</v>
      </c>
      <c r="H156" s="10">
        <v>66</v>
      </c>
      <c r="I156" s="11">
        <v>39</v>
      </c>
      <c r="J156" s="5">
        <v>10.8</v>
      </c>
      <c r="K156" s="6">
        <v>224.54</v>
      </c>
      <c r="L156" s="7">
        <v>167.23</v>
      </c>
      <c r="M156" s="9">
        <v>0.65</v>
      </c>
      <c r="N156" s="10">
        <v>83.97</v>
      </c>
      <c r="O156" s="11">
        <v>58.75</v>
      </c>
      <c r="P156" s="5">
        <v>24</v>
      </c>
      <c r="Q156" s="6">
        <v>484</v>
      </c>
      <c r="R156" s="7">
        <v>359</v>
      </c>
      <c r="S156" s="9">
        <v>2</v>
      </c>
      <c r="T156" s="10">
        <v>181</v>
      </c>
      <c r="U156" s="11">
        <v>125</v>
      </c>
    </row>
    <row r="157" spans="1:41">
      <c r="A157"/>
      <c r="B157"/>
      <c r="C157" s="12" t="s">
        <v>22</v>
      </c>
      <c r="D157" s="5">
        <v>4</v>
      </c>
      <c r="E157" s="6">
        <v>71</v>
      </c>
      <c r="F157" s="7">
        <v>64</v>
      </c>
      <c r="G157" s="9">
        <v>3</v>
      </c>
      <c r="H157" s="10">
        <v>39</v>
      </c>
      <c r="I157" s="11">
        <v>43</v>
      </c>
      <c r="J157" s="5">
        <v>4.8</v>
      </c>
      <c r="K157" s="6">
        <v>85.35</v>
      </c>
      <c r="L157" s="7">
        <v>67.68</v>
      </c>
      <c r="M157" s="9">
        <v>4.1</v>
      </c>
      <c r="N157" s="10">
        <v>51.49</v>
      </c>
      <c r="O157" s="11">
        <v>49.1</v>
      </c>
      <c r="P157" s="5">
        <v>11</v>
      </c>
      <c r="Q157" s="6">
        <v>191</v>
      </c>
      <c r="R157" s="7">
        <v>158</v>
      </c>
      <c r="S157" s="9">
        <v>9</v>
      </c>
      <c r="T157" s="10">
        <v>113</v>
      </c>
      <c r="U157" s="11">
        <v>112</v>
      </c>
    </row>
    <row r="158" spans="1:41">
      <c r="A158"/>
      <c r="B158"/>
      <c r="C158" s="12" t="s">
        <v>23</v>
      </c>
      <c r="D158" s="5">
        <v>2</v>
      </c>
      <c r="E158" s="6">
        <v>25</v>
      </c>
      <c r="F158" s="7">
        <v>28</v>
      </c>
      <c r="G158" s="9">
        <v>0</v>
      </c>
      <c r="H158" s="10">
        <v>17</v>
      </c>
      <c r="I158" s="11">
        <v>21</v>
      </c>
      <c r="J158" s="5">
        <v>7</v>
      </c>
      <c r="K158" s="6">
        <v>64.5</v>
      </c>
      <c r="L158" s="7">
        <v>42.7</v>
      </c>
      <c r="M158" s="9">
        <v>0</v>
      </c>
      <c r="N158" s="10">
        <v>22.2</v>
      </c>
      <c r="O158" s="11">
        <v>37</v>
      </c>
      <c r="P158" s="5">
        <v>15</v>
      </c>
      <c r="Q158" s="6">
        <v>133</v>
      </c>
      <c r="R158" s="7">
        <v>93</v>
      </c>
      <c r="S158" s="9">
        <v>0</v>
      </c>
      <c r="T158" s="10">
        <v>47</v>
      </c>
      <c r="U158" s="11">
        <v>78</v>
      </c>
    </row>
    <row r="159" spans="1:41">
      <c r="A159"/>
      <c r="B159"/>
      <c r="C159" s="12" t="s">
        <v>34</v>
      </c>
      <c r="D159" s="5">
        <v>0</v>
      </c>
      <c r="E159" s="6">
        <v>11</v>
      </c>
      <c r="F159" s="7">
        <v>9</v>
      </c>
      <c r="G159" s="9">
        <v>1</v>
      </c>
      <c r="H159" s="10">
        <v>5</v>
      </c>
      <c r="I159" s="11">
        <v>4</v>
      </c>
      <c r="J159" s="5">
        <v>0</v>
      </c>
      <c r="K159" s="6">
        <v>14.19</v>
      </c>
      <c r="L159" s="7">
        <v>18.13</v>
      </c>
      <c r="M159" s="9">
        <v>1</v>
      </c>
      <c r="N159" s="10">
        <v>7.5</v>
      </c>
      <c r="O159" s="11">
        <v>7.27</v>
      </c>
      <c r="P159" s="5">
        <v>0</v>
      </c>
      <c r="Q159" s="6">
        <v>30</v>
      </c>
      <c r="R159" s="7">
        <v>37</v>
      </c>
      <c r="S159" s="9">
        <v>2</v>
      </c>
      <c r="T159" s="10">
        <v>15</v>
      </c>
      <c r="U159" s="11">
        <v>16</v>
      </c>
    </row>
    <row r="160" spans="1:41">
      <c r="A160"/>
      <c r="B160"/>
      <c r="C160" s="12" t="s">
        <v>39</v>
      </c>
      <c r="D160" s="5">
        <v>1</v>
      </c>
      <c r="E160" s="6">
        <v>28</v>
      </c>
      <c r="F160" s="7">
        <v>28</v>
      </c>
      <c r="G160" s="9">
        <v>0</v>
      </c>
      <c r="H160" s="10">
        <v>12</v>
      </c>
      <c r="I160" s="11">
        <v>14</v>
      </c>
      <c r="J160" s="5">
        <v>0.5</v>
      </c>
      <c r="K160" s="6">
        <v>53.44</v>
      </c>
      <c r="L160" s="7">
        <v>43.44</v>
      </c>
      <c r="M160" s="9">
        <v>0</v>
      </c>
      <c r="N160" s="10">
        <v>16.55</v>
      </c>
      <c r="O160" s="11">
        <v>23.4</v>
      </c>
      <c r="P160" s="5">
        <v>1</v>
      </c>
      <c r="Q160" s="6">
        <v>114</v>
      </c>
      <c r="R160" s="7">
        <v>94</v>
      </c>
      <c r="S160" s="9">
        <v>0</v>
      </c>
      <c r="T160" s="10">
        <v>38</v>
      </c>
      <c r="U160" s="11">
        <v>51</v>
      </c>
    </row>
    <row r="161" spans="1:41">
      <c r="A161"/>
      <c r="B161"/>
      <c r="C161" s="12" t="s">
        <v>35</v>
      </c>
      <c r="D161" s="5">
        <v>4</v>
      </c>
      <c r="E161" s="6">
        <v>144</v>
      </c>
      <c r="F161" s="7">
        <v>163</v>
      </c>
      <c r="G161" s="9">
        <v>0</v>
      </c>
      <c r="H161" s="10">
        <v>53</v>
      </c>
      <c r="I161" s="11">
        <v>66</v>
      </c>
      <c r="J161" s="5">
        <v>1.1</v>
      </c>
      <c r="K161" s="6">
        <v>120.9</v>
      </c>
      <c r="L161" s="7">
        <v>151.85</v>
      </c>
      <c r="M161" s="9">
        <v>0</v>
      </c>
      <c r="N161" s="10">
        <v>49.6</v>
      </c>
      <c r="O161" s="11">
        <v>76.4</v>
      </c>
      <c r="P161" s="5">
        <v>4</v>
      </c>
      <c r="Q161" s="6">
        <v>290</v>
      </c>
      <c r="R161" s="7">
        <v>366</v>
      </c>
      <c r="S161" s="9">
        <v>0</v>
      </c>
      <c r="T161" s="10">
        <v>120</v>
      </c>
      <c r="U161" s="11">
        <v>174</v>
      </c>
    </row>
    <row r="162" spans="1:41">
      <c r="C162" s="13" t="s">
        <v>26</v>
      </c>
      <c r="D162" s="13" t="str">
        <f>SUM(D150:D161)</f>
        <v>0</v>
      </c>
      <c r="E162" s="13" t="str">
        <f>SUM(E150:E161)</f>
        <v>0</v>
      </c>
      <c r="F162" s="13" t="str">
        <f>SUM(F150:F161)</f>
        <v>0</v>
      </c>
      <c r="G162" s="13" t="str">
        <f>SUM(G150:G161)</f>
        <v>0</v>
      </c>
      <c r="H162" s="13" t="str">
        <f>SUM(H150:H161)</f>
        <v>0</v>
      </c>
      <c r="I162" s="13" t="str">
        <f>SUM(I150:I161)</f>
        <v>0</v>
      </c>
      <c r="J162" s="13" t="str">
        <f>SUM(J150:J161)</f>
        <v>0</v>
      </c>
      <c r="K162" s="13" t="str">
        <f>SUM(K150:K161)</f>
        <v>0</v>
      </c>
      <c r="L162" s="13" t="str">
        <f>SUM(L150:L161)</f>
        <v>0</v>
      </c>
      <c r="M162" s="13" t="str">
        <f>SUM(M150:M161)</f>
        <v>0</v>
      </c>
      <c r="N162" s="13" t="str">
        <f>SUM(N150:N161)</f>
        <v>0</v>
      </c>
      <c r="O162" s="13" t="str">
        <f>SUM(O150:O161)</f>
        <v>0</v>
      </c>
      <c r="P162" s="13" t="str">
        <f>SUM(P150:P161)</f>
        <v>0</v>
      </c>
      <c r="Q162" s="13" t="str">
        <f>SUM(Q150:Q161)</f>
        <v>0</v>
      </c>
      <c r="R162" s="13" t="str">
        <f>SUM(R150:R161)</f>
        <v>0</v>
      </c>
      <c r="S162" s="13" t="str">
        <f>SUM(S150:S161)</f>
        <v>0</v>
      </c>
      <c r="T162" s="13" t="str">
        <f>SUM(T150:T161)</f>
        <v>0</v>
      </c>
      <c r="U162" s="13" t="str">
        <f>SUM(U150:U161)</f>
        <v>0</v>
      </c>
    </row>
    <row r="163" spans="1:41">
      <c r="A163"/>
      <c r="B163" s="14" t="s">
        <v>84</v>
      </c>
      <c r="C163" s="12" t="s">
        <v>30</v>
      </c>
      <c r="D163" s="5">
        <v>7</v>
      </c>
      <c r="E163" s="6">
        <v>169</v>
      </c>
      <c r="F163" s="7">
        <v>129</v>
      </c>
      <c r="G163" s="9">
        <v>4</v>
      </c>
      <c r="H163" s="10">
        <v>127</v>
      </c>
      <c r="I163" s="11">
        <v>87</v>
      </c>
      <c r="J163" s="5">
        <v>2.7</v>
      </c>
      <c r="K163" s="6">
        <v>103.42</v>
      </c>
      <c r="L163" s="7">
        <v>100.34</v>
      </c>
      <c r="M163" s="9">
        <v>1.83</v>
      </c>
      <c r="N163" s="10">
        <v>77.96</v>
      </c>
      <c r="O163" s="11">
        <v>58.02</v>
      </c>
      <c r="P163" s="5">
        <v>7</v>
      </c>
      <c r="Q163" s="6">
        <v>269</v>
      </c>
      <c r="R163" s="7">
        <v>241</v>
      </c>
      <c r="S163" s="9">
        <v>5</v>
      </c>
      <c r="T163" s="10">
        <v>204</v>
      </c>
      <c r="U163" s="11">
        <v>148</v>
      </c>
    </row>
    <row r="164" spans="1:41">
      <c r="A164"/>
      <c r="B164"/>
      <c r="C164" s="12" t="s">
        <v>16</v>
      </c>
      <c r="D164" s="5">
        <v>9</v>
      </c>
      <c r="E164" s="6">
        <v>243</v>
      </c>
      <c r="F164" s="7">
        <v>182</v>
      </c>
      <c r="G164" s="9">
        <v>5</v>
      </c>
      <c r="H164" s="10">
        <v>138</v>
      </c>
      <c r="I164" s="11">
        <v>104</v>
      </c>
      <c r="J164" s="5">
        <v>5.36</v>
      </c>
      <c r="K164" s="6">
        <v>200.62</v>
      </c>
      <c r="L164" s="7">
        <v>165.36</v>
      </c>
      <c r="M164" s="9">
        <v>6.42</v>
      </c>
      <c r="N164" s="10">
        <v>89.26</v>
      </c>
      <c r="O164" s="11">
        <v>95.74</v>
      </c>
      <c r="P164" s="5">
        <v>13</v>
      </c>
      <c r="Q164" s="6">
        <v>479</v>
      </c>
      <c r="R164" s="7">
        <v>393</v>
      </c>
      <c r="S164" s="9">
        <v>14</v>
      </c>
      <c r="T164" s="10">
        <v>228</v>
      </c>
      <c r="U164" s="11">
        <v>230</v>
      </c>
    </row>
    <row r="165" spans="1:41">
      <c r="A165"/>
      <c r="B165"/>
      <c r="C165" s="12" t="s">
        <v>17</v>
      </c>
      <c r="D165" s="5">
        <v>6</v>
      </c>
      <c r="E165" s="6">
        <v>212</v>
      </c>
      <c r="F165" s="7">
        <v>140</v>
      </c>
      <c r="G165" s="9">
        <v>4</v>
      </c>
      <c r="H165" s="10">
        <v>111</v>
      </c>
      <c r="I165" s="11">
        <v>81</v>
      </c>
      <c r="J165" s="5">
        <v>3.13</v>
      </c>
      <c r="K165" s="6">
        <v>137.94</v>
      </c>
      <c r="L165" s="7">
        <v>102.49</v>
      </c>
      <c r="M165" s="9">
        <v>2.8</v>
      </c>
      <c r="N165" s="10">
        <v>66.57</v>
      </c>
      <c r="O165" s="11">
        <v>56.41</v>
      </c>
      <c r="P165" s="5">
        <v>8</v>
      </c>
      <c r="Q165" s="6">
        <v>347</v>
      </c>
      <c r="R165" s="7">
        <v>249</v>
      </c>
      <c r="S165" s="9">
        <v>7</v>
      </c>
      <c r="T165" s="10">
        <v>169</v>
      </c>
      <c r="U165" s="11">
        <v>140</v>
      </c>
    </row>
    <row r="166" spans="1:41">
      <c r="A166"/>
      <c r="B166"/>
      <c r="C166" s="12" t="s">
        <v>18</v>
      </c>
      <c r="D166" s="5">
        <v>70</v>
      </c>
      <c r="E166" s="6">
        <v>1544</v>
      </c>
      <c r="F166" s="7">
        <v>1176</v>
      </c>
      <c r="G166" s="9">
        <v>22</v>
      </c>
      <c r="H166" s="10">
        <v>667</v>
      </c>
      <c r="I166" s="11">
        <v>516</v>
      </c>
      <c r="J166" s="5">
        <v>52.51</v>
      </c>
      <c r="K166" s="6">
        <v>1365.21</v>
      </c>
      <c r="L166" s="7">
        <v>1123.36</v>
      </c>
      <c r="M166" s="9">
        <v>16.68</v>
      </c>
      <c r="N166" s="10">
        <v>496.69</v>
      </c>
      <c r="O166" s="11">
        <v>441.98</v>
      </c>
      <c r="P166" s="5">
        <v>125</v>
      </c>
      <c r="Q166" s="6">
        <v>3192</v>
      </c>
      <c r="R166" s="7">
        <v>2558</v>
      </c>
      <c r="S166" s="9">
        <v>41</v>
      </c>
      <c r="T166" s="10">
        <v>1213</v>
      </c>
      <c r="U166" s="11">
        <v>1039</v>
      </c>
    </row>
    <row r="167" spans="1:41">
      <c r="A167"/>
      <c r="B167"/>
      <c r="C167" s="12" t="s">
        <v>29</v>
      </c>
      <c r="D167" s="5">
        <v>19</v>
      </c>
      <c r="E167" s="6">
        <v>593</v>
      </c>
      <c r="F167" s="7">
        <v>497</v>
      </c>
      <c r="G167" s="9">
        <v>6</v>
      </c>
      <c r="H167" s="10">
        <v>268</v>
      </c>
      <c r="I167" s="11">
        <v>240</v>
      </c>
      <c r="J167" s="5">
        <v>31.98</v>
      </c>
      <c r="K167" s="6">
        <v>703.57</v>
      </c>
      <c r="L167" s="7">
        <v>613.65</v>
      </c>
      <c r="M167" s="9">
        <v>7.6</v>
      </c>
      <c r="N167" s="10">
        <v>268.68</v>
      </c>
      <c r="O167" s="11">
        <v>275.66</v>
      </c>
      <c r="P167" s="5">
        <v>68</v>
      </c>
      <c r="Q167" s="6">
        <v>1545</v>
      </c>
      <c r="R167" s="7">
        <v>1346</v>
      </c>
      <c r="S167" s="9">
        <v>16</v>
      </c>
      <c r="T167" s="10">
        <v>611</v>
      </c>
      <c r="U167" s="11">
        <v>610</v>
      </c>
    </row>
    <row r="168" spans="1:41">
      <c r="A168"/>
      <c r="B168"/>
      <c r="C168" s="12" t="s">
        <v>20</v>
      </c>
      <c r="D168" s="5">
        <v>9</v>
      </c>
      <c r="E168" s="6">
        <v>236</v>
      </c>
      <c r="F168" s="7">
        <v>129</v>
      </c>
      <c r="G168" s="9">
        <v>5</v>
      </c>
      <c r="H168" s="10">
        <v>139</v>
      </c>
      <c r="I168" s="11">
        <v>74</v>
      </c>
      <c r="J168" s="5">
        <v>6.44</v>
      </c>
      <c r="K168" s="6">
        <v>196.84</v>
      </c>
      <c r="L168" s="7">
        <v>135.56</v>
      </c>
      <c r="M168" s="9">
        <v>3.4</v>
      </c>
      <c r="N168" s="10">
        <v>94.65</v>
      </c>
      <c r="O168" s="11">
        <v>55.08</v>
      </c>
      <c r="P168" s="5">
        <v>15</v>
      </c>
      <c r="Q168" s="6">
        <v>455</v>
      </c>
      <c r="R168" s="7">
        <v>300</v>
      </c>
      <c r="S168" s="9">
        <v>9</v>
      </c>
      <c r="T168" s="10">
        <v>228</v>
      </c>
      <c r="U168" s="11">
        <v>128</v>
      </c>
    </row>
    <row r="169" spans="1:41">
      <c r="A169"/>
      <c r="B169"/>
      <c r="C169" s="12" t="s">
        <v>36</v>
      </c>
      <c r="D169" s="5">
        <v>7</v>
      </c>
      <c r="E169" s="6">
        <v>114</v>
      </c>
      <c r="F169" s="7">
        <v>51</v>
      </c>
      <c r="G169" s="9">
        <v>3</v>
      </c>
      <c r="H169" s="10">
        <v>62</v>
      </c>
      <c r="I169" s="11">
        <v>34</v>
      </c>
      <c r="J169" s="5">
        <v>2.26</v>
      </c>
      <c r="K169" s="6">
        <v>110.38</v>
      </c>
      <c r="L169" s="7">
        <v>44.21</v>
      </c>
      <c r="M169" s="9">
        <v>0.88</v>
      </c>
      <c r="N169" s="10">
        <v>37.63</v>
      </c>
      <c r="O169" s="11">
        <v>28.98</v>
      </c>
      <c r="P169" s="5">
        <v>8</v>
      </c>
      <c r="Q169" s="6">
        <v>271</v>
      </c>
      <c r="R169" s="7">
        <v>105</v>
      </c>
      <c r="S169" s="9">
        <v>3</v>
      </c>
      <c r="T169" s="10">
        <v>101</v>
      </c>
      <c r="U169" s="11">
        <v>73</v>
      </c>
    </row>
    <row r="170" spans="1:41">
      <c r="A170"/>
      <c r="B170"/>
      <c r="C170" s="12" t="s">
        <v>22</v>
      </c>
      <c r="D170" s="5">
        <v>6</v>
      </c>
      <c r="E170" s="6">
        <v>110</v>
      </c>
      <c r="F170" s="7">
        <v>114</v>
      </c>
      <c r="G170" s="9">
        <v>0</v>
      </c>
      <c r="H170" s="10">
        <v>51</v>
      </c>
      <c r="I170" s="11">
        <v>48</v>
      </c>
      <c r="J170" s="5">
        <v>4.35</v>
      </c>
      <c r="K170" s="6">
        <v>110.31</v>
      </c>
      <c r="L170" s="7">
        <v>115.84</v>
      </c>
      <c r="M170" s="9">
        <v>0</v>
      </c>
      <c r="N170" s="10">
        <v>37.16</v>
      </c>
      <c r="O170" s="11">
        <v>34.81</v>
      </c>
      <c r="P170" s="5">
        <v>10</v>
      </c>
      <c r="Q170" s="6">
        <v>253</v>
      </c>
      <c r="R170" s="7">
        <v>269</v>
      </c>
      <c r="S170" s="9">
        <v>0</v>
      </c>
      <c r="T170" s="10">
        <v>94</v>
      </c>
      <c r="U170" s="11">
        <v>86</v>
      </c>
    </row>
    <row r="171" spans="1:41">
      <c r="A171"/>
      <c r="B171"/>
      <c r="C171" s="12" t="s">
        <v>23</v>
      </c>
      <c r="D171" s="5">
        <v>16</v>
      </c>
      <c r="E171" s="6">
        <v>417</v>
      </c>
      <c r="F171" s="7">
        <v>311</v>
      </c>
      <c r="G171" s="9">
        <v>7</v>
      </c>
      <c r="H171" s="10">
        <v>231</v>
      </c>
      <c r="I171" s="11">
        <v>145</v>
      </c>
      <c r="J171" s="5">
        <v>14.93</v>
      </c>
      <c r="K171" s="6">
        <v>394.7</v>
      </c>
      <c r="L171" s="7">
        <v>306.79</v>
      </c>
      <c r="M171" s="9">
        <v>4.61</v>
      </c>
      <c r="N171" s="10">
        <v>195.75</v>
      </c>
      <c r="O171" s="11">
        <v>123.43</v>
      </c>
      <c r="P171" s="5">
        <v>33</v>
      </c>
      <c r="Q171" s="6">
        <v>900</v>
      </c>
      <c r="R171" s="7">
        <v>702</v>
      </c>
      <c r="S171" s="9">
        <v>12</v>
      </c>
      <c r="T171" s="10">
        <v>468</v>
      </c>
      <c r="U171" s="11">
        <v>287</v>
      </c>
    </row>
    <row r="172" spans="1:41">
      <c r="A172"/>
      <c r="B172"/>
      <c r="C172" s="12" t="s">
        <v>34</v>
      </c>
      <c r="D172" s="5">
        <v>0</v>
      </c>
      <c r="E172" s="6">
        <v>97</v>
      </c>
      <c r="F172" s="7">
        <v>59</v>
      </c>
      <c r="G172" s="9">
        <v>1</v>
      </c>
      <c r="H172" s="10">
        <v>51</v>
      </c>
      <c r="I172" s="11">
        <v>49</v>
      </c>
      <c r="J172" s="5">
        <v>0</v>
      </c>
      <c r="K172" s="6">
        <v>63.23</v>
      </c>
      <c r="L172" s="7">
        <v>36.64</v>
      </c>
      <c r="M172" s="9">
        <v>0.28</v>
      </c>
      <c r="N172" s="10">
        <v>23.94</v>
      </c>
      <c r="O172" s="11">
        <v>25.49</v>
      </c>
      <c r="P172" s="5">
        <v>0</v>
      </c>
      <c r="Q172" s="6">
        <v>165</v>
      </c>
      <c r="R172" s="7">
        <v>95</v>
      </c>
      <c r="S172" s="9">
        <v>1</v>
      </c>
      <c r="T172" s="10">
        <v>70</v>
      </c>
      <c r="U172" s="11">
        <v>69</v>
      </c>
    </row>
    <row r="173" spans="1:41">
      <c r="A173"/>
      <c r="B173"/>
      <c r="C173" s="12" t="s">
        <v>39</v>
      </c>
      <c r="D173" s="5">
        <v>4</v>
      </c>
      <c r="E173" s="6">
        <v>111</v>
      </c>
      <c r="F173" s="7">
        <v>75</v>
      </c>
      <c r="G173" s="9">
        <v>0</v>
      </c>
      <c r="H173" s="10">
        <v>24</v>
      </c>
      <c r="I173" s="11">
        <v>22</v>
      </c>
      <c r="J173" s="5">
        <v>2.26</v>
      </c>
      <c r="K173" s="6">
        <v>109.35</v>
      </c>
      <c r="L173" s="7">
        <v>75.27</v>
      </c>
      <c r="M173" s="9">
        <v>0</v>
      </c>
      <c r="N173" s="10">
        <v>15.29</v>
      </c>
      <c r="O173" s="11">
        <v>19.53</v>
      </c>
      <c r="P173" s="5">
        <v>5</v>
      </c>
      <c r="Q173" s="6">
        <v>244</v>
      </c>
      <c r="R173" s="7">
        <v>167</v>
      </c>
      <c r="S173" s="9">
        <v>0</v>
      </c>
      <c r="T173" s="10">
        <v>36</v>
      </c>
      <c r="U173" s="11">
        <v>44</v>
      </c>
    </row>
    <row r="174" spans="1:41">
      <c r="A174"/>
      <c r="B174"/>
      <c r="C174" s="12" t="s">
        <v>35</v>
      </c>
      <c r="D174" s="5">
        <v>14</v>
      </c>
      <c r="E174" s="6">
        <v>586</v>
      </c>
      <c r="F174" s="7">
        <v>415</v>
      </c>
      <c r="G174" s="9">
        <v>4</v>
      </c>
      <c r="H174" s="10">
        <v>270</v>
      </c>
      <c r="I174" s="11">
        <v>162</v>
      </c>
      <c r="J174" s="5">
        <v>9.37</v>
      </c>
      <c r="K174" s="6">
        <v>509.72</v>
      </c>
      <c r="L174" s="7">
        <v>388.14</v>
      </c>
      <c r="M174" s="9">
        <v>5.68</v>
      </c>
      <c r="N174" s="10">
        <v>202.83</v>
      </c>
      <c r="O174" s="11">
        <v>125.13</v>
      </c>
      <c r="P174" s="5">
        <v>24</v>
      </c>
      <c r="Q174" s="6">
        <v>1196</v>
      </c>
      <c r="R174" s="7">
        <v>914</v>
      </c>
      <c r="S174" s="9">
        <v>12</v>
      </c>
      <c r="T174" s="10">
        <v>491</v>
      </c>
      <c r="U174" s="11">
        <v>301</v>
      </c>
    </row>
    <row r="175" spans="1:41">
      <c r="C175" s="13" t="s">
        <v>26</v>
      </c>
      <c r="D175" s="13" t="str">
        <f>SUM(D163:D174)</f>
        <v>0</v>
      </c>
      <c r="E175" s="13" t="str">
        <f>SUM(E163:E174)</f>
        <v>0</v>
      </c>
      <c r="F175" s="13" t="str">
        <f>SUM(F163:F174)</f>
        <v>0</v>
      </c>
      <c r="G175" s="13" t="str">
        <f>SUM(G163:G174)</f>
        <v>0</v>
      </c>
      <c r="H175" s="13" t="str">
        <f>SUM(H163:H174)</f>
        <v>0</v>
      </c>
      <c r="I175" s="13" t="str">
        <f>SUM(I163:I174)</f>
        <v>0</v>
      </c>
      <c r="J175" s="13" t="str">
        <f>SUM(J163:J174)</f>
        <v>0</v>
      </c>
      <c r="K175" s="13" t="str">
        <f>SUM(K163:K174)</f>
        <v>0</v>
      </c>
      <c r="L175" s="13" t="str">
        <f>SUM(L163:L174)</f>
        <v>0</v>
      </c>
      <c r="M175" s="13" t="str">
        <f>SUM(M163:M174)</f>
        <v>0</v>
      </c>
      <c r="N175" s="13" t="str">
        <f>SUM(N163:N174)</f>
        <v>0</v>
      </c>
      <c r="O175" s="13" t="str">
        <f>SUM(O163:O174)</f>
        <v>0</v>
      </c>
      <c r="P175" s="13" t="str">
        <f>SUM(P163:P174)</f>
        <v>0</v>
      </c>
      <c r="Q175" s="13" t="str">
        <f>SUM(Q163:Q174)</f>
        <v>0</v>
      </c>
      <c r="R175" s="13" t="str">
        <f>SUM(R163:R174)</f>
        <v>0</v>
      </c>
      <c r="S175" s="13" t="str">
        <f>SUM(S163:S174)</f>
        <v>0</v>
      </c>
      <c r="T175" s="13" t="str">
        <f>SUM(T163:T174)</f>
        <v>0</v>
      </c>
      <c r="U175" s="13" t="str">
        <f>SUM(U163:U174)</f>
        <v>0</v>
      </c>
    </row>
    <row r="176" spans="1:41">
      <c r="A176"/>
      <c r="B176" s="14" t="s">
        <v>85</v>
      </c>
      <c r="C176" s="12" t="s">
        <v>18</v>
      </c>
      <c r="D176" s="5">
        <v>10</v>
      </c>
      <c r="E176" s="6">
        <v>211</v>
      </c>
      <c r="F176" s="7">
        <v>169</v>
      </c>
      <c r="G176" s="9">
        <v>1</v>
      </c>
      <c r="H176" s="10">
        <v>31</v>
      </c>
      <c r="I176" s="11">
        <v>22</v>
      </c>
      <c r="J176" s="5">
        <v>8.7</v>
      </c>
      <c r="K176" s="6">
        <v>220.29</v>
      </c>
      <c r="L176" s="7">
        <v>167.82</v>
      </c>
      <c r="M176" s="9">
        <v>0.6</v>
      </c>
      <c r="N176" s="10">
        <v>26.8</v>
      </c>
      <c r="O176" s="11">
        <v>20.2</v>
      </c>
      <c r="P176" s="5">
        <v>21</v>
      </c>
      <c r="Q176" s="6">
        <v>496</v>
      </c>
      <c r="R176" s="7">
        <v>374</v>
      </c>
      <c r="S176" s="9">
        <v>2</v>
      </c>
      <c r="T176" s="10">
        <v>59</v>
      </c>
      <c r="U176" s="11">
        <v>46</v>
      </c>
    </row>
    <row r="177" spans="1:41">
      <c r="A177"/>
      <c r="B177"/>
      <c r="C177" s="12" t="s">
        <v>29</v>
      </c>
      <c r="D177" s="5">
        <v>0</v>
      </c>
      <c r="E177" s="6">
        <v>44</v>
      </c>
      <c r="F177" s="7">
        <v>65</v>
      </c>
      <c r="G177" s="9">
        <v>0</v>
      </c>
      <c r="H177" s="10">
        <v>15</v>
      </c>
      <c r="I177" s="11">
        <v>6</v>
      </c>
      <c r="J177" s="5">
        <v>0</v>
      </c>
      <c r="K177" s="6">
        <v>39.55</v>
      </c>
      <c r="L177" s="7">
        <v>52.93</v>
      </c>
      <c r="M177" s="9">
        <v>0</v>
      </c>
      <c r="N177" s="10">
        <v>9.47</v>
      </c>
      <c r="O177" s="11">
        <v>4.3</v>
      </c>
      <c r="P177" s="5">
        <v>0</v>
      </c>
      <c r="Q177" s="6">
        <v>92</v>
      </c>
      <c r="R177" s="7">
        <v>121</v>
      </c>
      <c r="S177" s="9">
        <v>0</v>
      </c>
      <c r="T177" s="10">
        <v>23</v>
      </c>
      <c r="U177" s="11">
        <v>11</v>
      </c>
    </row>
    <row r="178" spans="1:41">
      <c r="A178"/>
      <c r="B178"/>
      <c r="C178" s="12" t="s">
        <v>22</v>
      </c>
      <c r="D178" s="5">
        <v>2</v>
      </c>
      <c r="E178" s="6">
        <v>53</v>
      </c>
      <c r="F178" s="7">
        <v>66</v>
      </c>
      <c r="G178" s="9">
        <v>0</v>
      </c>
      <c r="H178" s="10">
        <v>1</v>
      </c>
      <c r="I178" s="11">
        <v>2</v>
      </c>
      <c r="J178" s="5">
        <v>3.3</v>
      </c>
      <c r="K178" s="6">
        <v>51</v>
      </c>
      <c r="L178" s="7">
        <v>49.33</v>
      </c>
      <c r="M178" s="9">
        <v>0</v>
      </c>
      <c r="N178" s="10">
        <v>0.6</v>
      </c>
      <c r="O178" s="11">
        <v>1</v>
      </c>
      <c r="P178" s="5">
        <v>7</v>
      </c>
      <c r="Q178" s="6">
        <v>116</v>
      </c>
      <c r="R178" s="7">
        <v>121</v>
      </c>
      <c r="S178" s="9">
        <v>0</v>
      </c>
      <c r="T178" s="10">
        <v>2</v>
      </c>
      <c r="U178" s="11">
        <v>2</v>
      </c>
    </row>
    <row r="179" spans="1:41">
      <c r="A179"/>
      <c r="B179"/>
      <c r="C179" s="12" t="s">
        <v>35</v>
      </c>
      <c r="D179" s="5">
        <v>5</v>
      </c>
      <c r="E179" s="6">
        <v>67</v>
      </c>
      <c r="F179" s="7">
        <v>57</v>
      </c>
      <c r="G179" s="9">
        <v>1</v>
      </c>
      <c r="H179" s="10">
        <v>21</v>
      </c>
      <c r="I179" s="11">
        <v>16</v>
      </c>
      <c r="J179" s="5">
        <v>2.78</v>
      </c>
      <c r="K179" s="6">
        <v>69.08</v>
      </c>
      <c r="L179" s="7">
        <v>64.84</v>
      </c>
      <c r="M179" s="9">
        <v>0.97</v>
      </c>
      <c r="N179" s="10">
        <v>14.93</v>
      </c>
      <c r="O179" s="11">
        <v>13.65</v>
      </c>
      <c r="P179" s="5">
        <v>7</v>
      </c>
      <c r="Q179" s="6">
        <v>156</v>
      </c>
      <c r="R179" s="7">
        <v>144</v>
      </c>
      <c r="S179" s="9">
        <v>2</v>
      </c>
      <c r="T179" s="10">
        <v>34</v>
      </c>
      <c r="U179" s="11">
        <v>30</v>
      </c>
    </row>
    <row r="180" spans="1:41">
      <c r="C180" s="13" t="s">
        <v>26</v>
      </c>
      <c r="D180" s="13" t="str">
        <f>SUM(D176:D179)</f>
        <v>0</v>
      </c>
      <c r="E180" s="13" t="str">
        <f>SUM(E176:E179)</f>
        <v>0</v>
      </c>
      <c r="F180" s="13" t="str">
        <f>SUM(F176:F179)</f>
        <v>0</v>
      </c>
      <c r="G180" s="13" t="str">
        <f>SUM(G176:G179)</f>
        <v>0</v>
      </c>
      <c r="H180" s="13" t="str">
        <f>SUM(H176:H179)</f>
        <v>0</v>
      </c>
      <c r="I180" s="13" t="str">
        <f>SUM(I176:I179)</f>
        <v>0</v>
      </c>
      <c r="J180" s="13" t="str">
        <f>SUM(J176:J179)</f>
        <v>0</v>
      </c>
      <c r="K180" s="13" t="str">
        <f>SUM(K176:K179)</f>
        <v>0</v>
      </c>
      <c r="L180" s="13" t="str">
        <f>SUM(L176:L179)</f>
        <v>0</v>
      </c>
      <c r="M180" s="13" t="str">
        <f>SUM(M176:M179)</f>
        <v>0</v>
      </c>
      <c r="N180" s="13" t="str">
        <f>SUM(N176:N179)</f>
        <v>0</v>
      </c>
      <c r="O180" s="13" t="str">
        <f>SUM(O176:O179)</f>
        <v>0</v>
      </c>
      <c r="P180" s="13" t="str">
        <f>SUM(P176:P179)</f>
        <v>0</v>
      </c>
      <c r="Q180" s="13" t="str">
        <f>SUM(Q176:Q179)</f>
        <v>0</v>
      </c>
      <c r="R180" s="13" t="str">
        <f>SUM(R176:R179)</f>
        <v>0</v>
      </c>
      <c r="S180" s="13" t="str">
        <f>SUM(S176:S179)</f>
        <v>0</v>
      </c>
      <c r="T180" s="13" t="str">
        <f>SUM(T176:T179)</f>
        <v>0</v>
      </c>
      <c r="U180" s="13" t="str">
        <f>SUM(U176:U179)</f>
        <v>0</v>
      </c>
    </row>
    <row r="181" spans="1:41">
      <c r="A181" s="9" t="s">
        <v>86</v>
      </c>
      <c r="B181" s="11" t="s">
        <v>87</v>
      </c>
      <c r="C181" s="12" t="s">
        <v>18</v>
      </c>
      <c r="D181" s="5">
        <v>13</v>
      </c>
      <c r="E181" s="6">
        <v>690</v>
      </c>
      <c r="F181" s="7">
        <v>571</v>
      </c>
      <c r="G181" s="9">
        <v>7</v>
      </c>
      <c r="H181" s="10">
        <v>448</v>
      </c>
      <c r="I181" s="11">
        <v>346</v>
      </c>
      <c r="J181" s="5">
        <v>6.71</v>
      </c>
      <c r="K181" s="6">
        <v>394.8</v>
      </c>
      <c r="L181" s="7">
        <v>371.48</v>
      </c>
      <c r="M181" s="9">
        <v>2.07</v>
      </c>
      <c r="N181" s="10">
        <v>227.16</v>
      </c>
      <c r="O181" s="11">
        <v>206.15</v>
      </c>
      <c r="P181" s="5">
        <v>17</v>
      </c>
      <c r="Q181" s="6">
        <v>993</v>
      </c>
      <c r="R181" s="7">
        <v>900</v>
      </c>
      <c r="S181" s="9">
        <v>8</v>
      </c>
      <c r="T181" s="10">
        <v>585</v>
      </c>
      <c r="U181" s="11">
        <v>513</v>
      </c>
    </row>
    <row r="182" spans="1:41">
      <c r="A182"/>
      <c r="B182"/>
      <c r="C182" s="12" t="s">
        <v>20</v>
      </c>
      <c r="D182" s="5">
        <v>24</v>
      </c>
      <c r="E182" s="6">
        <v>780</v>
      </c>
      <c r="F182" s="7">
        <v>705</v>
      </c>
      <c r="G182" s="9">
        <v>10</v>
      </c>
      <c r="H182" s="10">
        <v>669</v>
      </c>
      <c r="I182" s="11">
        <v>603</v>
      </c>
      <c r="J182" s="5">
        <v>12.54</v>
      </c>
      <c r="K182" s="6">
        <v>598.19</v>
      </c>
      <c r="L182" s="7">
        <v>563.8</v>
      </c>
      <c r="M182" s="9">
        <v>5.27</v>
      </c>
      <c r="N182" s="10">
        <v>418.84</v>
      </c>
      <c r="O182" s="11">
        <v>426.13</v>
      </c>
      <c r="P182" s="5">
        <v>31</v>
      </c>
      <c r="Q182" s="6">
        <v>1398</v>
      </c>
      <c r="R182" s="7">
        <v>1320</v>
      </c>
      <c r="S182" s="9">
        <v>12</v>
      </c>
      <c r="T182" s="10">
        <v>1023</v>
      </c>
      <c r="U182" s="11">
        <v>1030</v>
      </c>
    </row>
    <row r="183" spans="1:41">
      <c r="C183" s="13" t="s">
        <v>26</v>
      </c>
      <c r="D183" s="13" t="str">
        <f>SUM(D181:D182)</f>
        <v>0</v>
      </c>
      <c r="E183" s="13" t="str">
        <f>SUM(E181:E182)</f>
        <v>0</v>
      </c>
      <c r="F183" s="13" t="str">
        <f>SUM(F181:F182)</f>
        <v>0</v>
      </c>
      <c r="G183" s="13" t="str">
        <f>SUM(G181:G182)</f>
        <v>0</v>
      </c>
      <c r="H183" s="13" t="str">
        <f>SUM(H181:H182)</f>
        <v>0</v>
      </c>
      <c r="I183" s="13" t="str">
        <f>SUM(I181:I182)</f>
        <v>0</v>
      </c>
      <c r="J183" s="13" t="str">
        <f>SUM(J181:J182)</f>
        <v>0</v>
      </c>
      <c r="K183" s="13" t="str">
        <f>SUM(K181:K182)</f>
        <v>0</v>
      </c>
      <c r="L183" s="13" t="str">
        <f>SUM(L181:L182)</f>
        <v>0</v>
      </c>
      <c r="M183" s="13" t="str">
        <f>SUM(M181:M182)</f>
        <v>0</v>
      </c>
      <c r="N183" s="13" t="str">
        <f>SUM(N181:N182)</f>
        <v>0</v>
      </c>
      <c r="O183" s="13" t="str">
        <f>SUM(O181:O182)</f>
        <v>0</v>
      </c>
      <c r="P183" s="13" t="str">
        <f>SUM(P181:P182)</f>
        <v>0</v>
      </c>
      <c r="Q183" s="13" t="str">
        <f>SUM(Q181:Q182)</f>
        <v>0</v>
      </c>
      <c r="R183" s="13" t="str">
        <f>SUM(R181:R182)</f>
        <v>0</v>
      </c>
      <c r="S183" s="13" t="str">
        <f>SUM(S181:S182)</f>
        <v>0</v>
      </c>
      <c r="T183" s="13" t="str">
        <f>SUM(T181:T182)</f>
        <v>0</v>
      </c>
      <c r="U183" s="13" t="str">
        <f>SUM(U181:U182)</f>
        <v>0</v>
      </c>
    </row>
    <row r="184" spans="1:41">
      <c r="A184"/>
      <c r="B184" s="14" t="s">
        <v>88</v>
      </c>
      <c r="C184" s="12" t="s">
        <v>30</v>
      </c>
      <c r="D184" s="5">
        <v>0</v>
      </c>
      <c r="E184" s="6">
        <v>22</v>
      </c>
      <c r="F184" s="7">
        <v>17</v>
      </c>
      <c r="G184" s="9">
        <v>0</v>
      </c>
      <c r="H184" s="10">
        <v>7</v>
      </c>
      <c r="I184" s="11">
        <v>12</v>
      </c>
      <c r="J184" s="5">
        <v>0</v>
      </c>
      <c r="K184" s="6">
        <v>25.39</v>
      </c>
      <c r="L184" s="7">
        <v>11.43</v>
      </c>
      <c r="M184" s="9">
        <v>0</v>
      </c>
      <c r="N184" s="10">
        <v>7.45</v>
      </c>
      <c r="O184" s="11">
        <v>6.14</v>
      </c>
      <c r="P184" s="5">
        <v>0</v>
      </c>
      <c r="Q184" s="6">
        <v>55</v>
      </c>
      <c r="R184" s="7">
        <v>30</v>
      </c>
      <c r="S184" s="9">
        <v>0</v>
      </c>
      <c r="T184" s="10">
        <v>16</v>
      </c>
      <c r="U184" s="11">
        <v>17</v>
      </c>
    </row>
    <row r="185" spans="1:41">
      <c r="A185"/>
      <c r="B185"/>
      <c r="C185" s="12" t="s">
        <v>18</v>
      </c>
      <c r="D185" s="5">
        <v>8</v>
      </c>
      <c r="E185" s="6">
        <v>236</v>
      </c>
      <c r="F185" s="7">
        <v>156</v>
      </c>
      <c r="G185" s="9">
        <v>3</v>
      </c>
      <c r="H185" s="10">
        <v>166</v>
      </c>
      <c r="I185" s="11">
        <v>109</v>
      </c>
      <c r="J185" s="5">
        <v>9.23</v>
      </c>
      <c r="K185" s="6">
        <v>203.05</v>
      </c>
      <c r="L185" s="7">
        <v>146.93</v>
      </c>
      <c r="M185" s="9">
        <v>2.43</v>
      </c>
      <c r="N185" s="10">
        <v>159.14</v>
      </c>
      <c r="O185" s="11">
        <v>101.21</v>
      </c>
      <c r="P185" s="5">
        <v>19</v>
      </c>
      <c r="Q185" s="6">
        <v>464</v>
      </c>
      <c r="R185" s="7">
        <v>335</v>
      </c>
      <c r="S185" s="9">
        <v>5</v>
      </c>
      <c r="T185" s="10">
        <v>350</v>
      </c>
      <c r="U185" s="11">
        <v>232</v>
      </c>
    </row>
    <row r="186" spans="1:41">
      <c r="A186"/>
      <c r="B186"/>
      <c r="C186" s="12" t="s">
        <v>20</v>
      </c>
      <c r="D186" s="5">
        <v>19</v>
      </c>
      <c r="E186" s="6">
        <v>290</v>
      </c>
      <c r="F186" s="7">
        <v>191</v>
      </c>
      <c r="G186" s="9">
        <v>9</v>
      </c>
      <c r="H186" s="10">
        <v>202</v>
      </c>
      <c r="I186" s="11">
        <v>160</v>
      </c>
      <c r="J186" s="5">
        <v>16.4</v>
      </c>
      <c r="K186" s="6">
        <v>251.84</v>
      </c>
      <c r="L186" s="7">
        <v>195.15</v>
      </c>
      <c r="M186" s="9">
        <v>8.14</v>
      </c>
      <c r="N186" s="10">
        <v>180.06</v>
      </c>
      <c r="O186" s="11">
        <v>149.02</v>
      </c>
      <c r="P186" s="5">
        <v>37</v>
      </c>
      <c r="Q186" s="6">
        <v>585</v>
      </c>
      <c r="R186" s="7">
        <v>443</v>
      </c>
      <c r="S186" s="9">
        <v>18</v>
      </c>
      <c r="T186" s="10">
        <v>415</v>
      </c>
      <c r="U186" s="11">
        <v>340</v>
      </c>
    </row>
    <row r="187" spans="1:41">
      <c r="C187" s="13" t="s">
        <v>26</v>
      </c>
      <c r="D187" s="13" t="str">
        <f>SUM(D184:D186)</f>
        <v>0</v>
      </c>
      <c r="E187" s="13" t="str">
        <f>SUM(E184:E186)</f>
        <v>0</v>
      </c>
      <c r="F187" s="13" t="str">
        <f>SUM(F184:F186)</f>
        <v>0</v>
      </c>
      <c r="G187" s="13" t="str">
        <f>SUM(G184:G186)</f>
        <v>0</v>
      </c>
      <c r="H187" s="13" t="str">
        <f>SUM(H184:H186)</f>
        <v>0</v>
      </c>
      <c r="I187" s="13" t="str">
        <f>SUM(I184:I186)</f>
        <v>0</v>
      </c>
      <c r="J187" s="13" t="str">
        <f>SUM(J184:J186)</f>
        <v>0</v>
      </c>
      <c r="K187" s="13" t="str">
        <f>SUM(K184:K186)</f>
        <v>0</v>
      </c>
      <c r="L187" s="13" t="str">
        <f>SUM(L184:L186)</f>
        <v>0</v>
      </c>
      <c r="M187" s="13" t="str">
        <f>SUM(M184:M186)</f>
        <v>0</v>
      </c>
      <c r="N187" s="13" t="str">
        <f>SUM(N184:N186)</f>
        <v>0</v>
      </c>
      <c r="O187" s="13" t="str">
        <f>SUM(O184:O186)</f>
        <v>0</v>
      </c>
      <c r="P187" s="13" t="str">
        <f>SUM(P184:P186)</f>
        <v>0</v>
      </c>
      <c r="Q187" s="13" t="str">
        <f>SUM(Q184:Q186)</f>
        <v>0</v>
      </c>
      <c r="R187" s="13" t="str">
        <f>SUM(R184:R186)</f>
        <v>0</v>
      </c>
      <c r="S187" s="13" t="str">
        <f>SUM(S184:S186)</f>
        <v>0</v>
      </c>
      <c r="T187" s="13" t="str">
        <f>SUM(T184:T186)</f>
        <v>0</v>
      </c>
      <c r="U187" s="13" t="str">
        <f>SUM(U184:U186)</f>
        <v>0</v>
      </c>
    </row>
    <row r="188" spans="1:41">
      <c r="A188"/>
      <c r="B188" s="14" t="s">
        <v>89</v>
      </c>
      <c r="C188" s="12" t="s">
        <v>30</v>
      </c>
      <c r="D188" s="5">
        <v>0</v>
      </c>
      <c r="E188" s="6">
        <v>0</v>
      </c>
      <c r="F188" s="7">
        <v>0</v>
      </c>
      <c r="G188" s="9">
        <v>0</v>
      </c>
      <c r="H188" s="10">
        <v>0</v>
      </c>
      <c r="I188" s="11">
        <v>0</v>
      </c>
      <c r="J188" s="5">
        <v>0</v>
      </c>
      <c r="K188" s="6">
        <v>0</v>
      </c>
      <c r="L188" s="7">
        <v>0</v>
      </c>
      <c r="M188" s="9">
        <v>0</v>
      </c>
      <c r="N188" s="10">
        <v>0</v>
      </c>
      <c r="O188" s="11">
        <v>0</v>
      </c>
      <c r="P188" s="5">
        <v>0</v>
      </c>
      <c r="Q188" s="6">
        <v>0</v>
      </c>
      <c r="R188" s="7">
        <v>0</v>
      </c>
      <c r="S188" s="9">
        <v>0</v>
      </c>
      <c r="T188" s="10">
        <v>0</v>
      </c>
      <c r="U188" s="11">
        <v>0</v>
      </c>
    </row>
    <row r="189" spans="1:41">
      <c r="A189"/>
      <c r="B189"/>
      <c r="C189" s="12" t="s">
        <v>18</v>
      </c>
      <c r="D189" s="5">
        <v>27</v>
      </c>
      <c r="E189" s="6">
        <v>474</v>
      </c>
      <c r="F189" s="7">
        <v>346</v>
      </c>
      <c r="G189" s="9">
        <v>13</v>
      </c>
      <c r="H189" s="10">
        <v>339</v>
      </c>
      <c r="I189" s="11">
        <v>275</v>
      </c>
      <c r="J189" s="5">
        <v>25.28</v>
      </c>
      <c r="K189" s="6">
        <v>513.49</v>
      </c>
      <c r="L189" s="7">
        <v>424.46</v>
      </c>
      <c r="M189" s="9">
        <v>17.06</v>
      </c>
      <c r="N189" s="10">
        <v>316.62</v>
      </c>
      <c r="O189" s="11">
        <v>285.79</v>
      </c>
      <c r="P189" s="5">
        <v>60</v>
      </c>
      <c r="Q189" s="6">
        <v>1193</v>
      </c>
      <c r="R189" s="7">
        <v>963</v>
      </c>
      <c r="S189" s="9">
        <v>38</v>
      </c>
      <c r="T189" s="10">
        <v>750</v>
      </c>
      <c r="U189" s="11">
        <v>661</v>
      </c>
    </row>
    <row r="190" spans="1:41">
      <c r="A190"/>
      <c r="B190"/>
      <c r="C190" s="12" t="s">
        <v>20</v>
      </c>
      <c r="D190" s="5">
        <v>73</v>
      </c>
      <c r="E190" s="6">
        <v>1298</v>
      </c>
      <c r="F190" s="7">
        <v>1021</v>
      </c>
      <c r="G190" s="9">
        <v>46</v>
      </c>
      <c r="H190" s="10">
        <v>1067</v>
      </c>
      <c r="I190" s="11">
        <v>951</v>
      </c>
      <c r="J190" s="5">
        <v>87.12</v>
      </c>
      <c r="K190" s="6">
        <v>1585.82</v>
      </c>
      <c r="L190" s="7">
        <v>1335.46</v>
      </c>
      <c r="M190" s="9">
        <v>57.79</v>
      </c>
      <c r="N190" s="10">
        <v>1147.37</v>
      </c>
      <c r="O190" s="11">
        <v>1041.87</v>
      </c>
      <c r="P190" s="5">
        <v>197</v>
      </c>
      <c r="Q190" s="6">
        <v>3558</v>
      </c>
      <c r="R190" s="7">
        <v>2982</v>
      </c>
      <c r="S190" s="9">
        <v>133</v>
      </c>
      <c r="T190" s="10">
        <v>2615</v>
      </c>
      <c r="U190" s="11">
        <v>2380</v>
      </c>
    </row>
    <row r="191" spans="1:41">
      <c r="A191"/>
      <c r="B191"/>
      <c r="C191" s="12" t="s">
        <v>36</v>
      </c>
      <c r="D191" s="5">
        <v>0</v>
      </c>
      <c r="E191" s="6">
        <v>0</v>
      </c>
      <c r="F191" s="7">
        <v>0</v>
      </c>
      <c r="G191" s="9">
        <v>0</v>
      </c>
      <c r="H191" s="10">
        <v>0</v>
      </c>
      <c r="I191" s="11">
        <v>0</v>
      </c>
      <c r="J191" s="5">
        <v>0</v>
      </c>
      <c r="K191" s="6">
        <v>0</v>
      </c>
      <c r="L191" s="7">
        <v>0</v>
      </c>
      <c r="M191" s="9">
        <v>0</v>
      </c>
      <c r="N191" s="10">
        <v>0</v>
      </c>
      <c r="O191" s="11">
        <v>0</v>
      </c>
      <c r="P191" s="5">
        <v>0</v>
      </c>
      <c r="Q191" s="6">
        <v>0</v>
      </c>
      <c r="R191" s="7">
        <v>0</v>
      </c>
      <c r="S191" s="9">
        <v>0</v>
      </c>
      <c r="T191" s="10">
        <v>0</v>
      </c>
      <c r="U191" s="11">
        <v>0</v>
      </c>
    </row>
    <row r="192" spans="1:41">
      <c r="A192"/>
      <c r="B192"/>
      <c r="C192" s="12" t="s">
        <v>23</v>
      </c>
      <c r="D192" s="5">
        <v>0</v>
      </c>
      <c r="E192" s="6">
        <v>0</v>
      </c>
      <c r="F192" s="7">
        <v>0</v>
      </c>
      <c r="G192" s="9">
        <v>0</v>
      </c>
      <c r="H192" s="10">
        <v>0</v>
      </c>
      <c r="I192" s="11">
        <v>0</v>
      </c>
      <c r="J192" s="5">
        <v>0</v>
      </c>
      <c r="K192" s="6">
        <v>0</v>
      </c>
      <c r="L192" s="7">
        <v>0</v>
      </c>
      <c r="M192" s="9">
        <v>0</v>
      </c>
      <c r="N192" s="10">
        <v>0</v>
      </c>
      <c r="O192" s="11">
        <v>0</v>
      </c>
      <c r="P192" s="5">
        <v>0</v>
      </c>
      <c r="Q192" s="6">
        <v>0</v>
      </c>
      <c r="R192" s="7">
        <v>0</v>
      </c>
      <c r="S192" s="9">
        <v>0</v>
      </c>
      <c r="T192" s="10">
        <v>0</v>
      </c>
      <c r="U192" s="11">
        <v>0</v>
      </c>
    </row>
    <row r="193" spans="1:41">
      <c r="A193"/>
      <c r="B193"/>
      <c r="C193" s="12" t="s">
        <v>38</v>
      </c>
      <c r="D193" s="5">
        <v>0</v>
      </c>
      <c r="E193" s="6">
        <v>0</v>
      </c>
      <c r="F193" s="7">
        <v>0</v>
      </c>
      <c r="G193" s="9">
        <v>0</v>
      </c>
      <c r="H193" s="10">
        <v>0</v>
      </c>
      <c r="I193" s="11">
        <v>0</v>
      </c>
      <c r="J193" s="5">
        <v>0</v>
      </c>
      <c r="K193" s="6">
        <v>0</v>
      </c>
      <c r="L193" s="7">
        <v>0</v>
      </c>
      <c r="M193" s="9">
        <v>0</v>
      </c>
      <c r="N193" s="10">
        <v>0</v>
      </c>
      <c r="O193" s="11">
        <v>0</v>
      </c>
      <c r="P193" s="5">
        <v>0</v>
      </c>
      <c r="Q193" s="6">
        <v>0</v>
      </c>
      <c r="R193" s="7">
        <v>0</v>
      </c>
      <c r="S193" s="9">
        <v>0</v>
      </c>
      <c r="T193" s="10">
        <v>0</v>
      </c>
      <c r="U193" s="11">
        <v>0</v>
      </c>
    </row>
    <row r="194" spans="1:41">
      <c r="C194" s="13" t="s">
        <v>26</v>
      </c>
      <c r="D194" s="13" t="str">
        <f>SUM(D188:D193)</f>
        <v>0</v>
      </c>
      <c r="E194" s="13" t="str">
        <f>SUM(E188:E193)</f>
        <v>0</v>
      </c>
      <c r="F194" s="13" t="str">
        <f>SUM(F188:F193)</f>
        <v>0</v>
      </c>
      <c r="G194" s="13" t="str">
        <f>SUM(G188:G193)</f>
        <v>0</v>
      </c>
      <c r="H194" s="13" t="str">
        <f>SUM(H188:H193)</f>
        <v>0</v>
      </c>
      <c r="I194" s="13" t="str">
        <f>SUM(I188:I193)</f>
        <v>0</v>
      </c>
      <c r="J194" s="13" t="str">
        <f>SUM(J188:J193)</f>
        <v>0</v>
      </c>
      <c r="K194" s="13" t="str">
        <f>SUM(K188:K193)</f>
        <v>0</v>
      </c>
      <c r="L194" s="13" t="str">
        <f>SUM(L188:L193)</f>
        <v>0</v>
      </c>
      <c r="M194" s="13" t="str">
        <f>SUM(M188:M193)</f>
        <v>0</v>
      </c>
      <c r="N194" s="13" t="str">
        <f>SUM(N188:N193)</f>
        <v>0</v>
      </c>
      <c r="O194" s="13" t="str">
        <f>SUM(O188:O193)</f>
        <v>0</v>
      </c>
      <c r="P194" s="13" t="str">
        <f>SUM(P188:P193)</f>
        <v>0</v>
      </c>
      <c r="Q194" s="13" t="str">
        <f>SUM(Q188:Q193)</f>
        <v>0</v>
      </c>
      <c r="R194" s="13" t="str">
        <f>SUM(R188:R193)</f>
        <v>0</v>
      </c>
      <c r="S194" s="13" t="str">
        <f>SUM(S188:S193)</f>
        <v>0</v>
      </c>
      <c r="T194" s="13" t="str">
        <f>SUM(T188:T193)</f>
        <v>0</v>
      </c>
      <c r="U194" s="13" t="str">
        <f>SUM(U188:U193)</f>
        <v>0</v>
      </c>
    </row>
    <row r="195" spans="1:41">
      <c r="A195"/>
      <c r="B195" s="14" t="s">
        <v>90</v>
      </c>
      <c r="C195" s="12" t="s">
        <v>30</v>
      </c>
      <c r="D195" s="5">
        <v>1</v>
      </c>
      <c r="E195" s="6">
        <v>33</v>
      </c>
      <c r="F195" s="7">
        <v>38</v>
      </c>
      <c r="G195" s="9">
        <v>0</v>
      </c>
      <c r="H195" s="10">
        <v>18</v>
      </c>
      <c r="I195" s="11">
        <v>13</v>
      </c>
      <c r="J195" s="5">
        <v>0.26</v>
      </c>
      <c r="K195" s="6">
        <v>14.31</v>
      </c>
      <c r="L195" s="7">
        <v>22.13</v>
      </c>
      <c r="M195" s="9">
        <v>0</v>
      </c>
      <c r="N195" s="10">
        <v>6.7</v>
      </c>
      <c r="O195" s="11">
        <v>7.05</v>
      </c>
      <c r="P195" s="5">
        <v>1</v>
      </c>
      <c r="Q195" s="6">
        <v>39</v>
      </c>
      <c r="R195" s="7">
        <v>57</v>
      </c>
      <c r="S195" s="9">
        <v>0</v>
      </c>
      <c r="T195" s="10">
        <v>22</v>
      </c>
      <c r="U195" s="11">
        <v>20</v>
      </c>
    </row>
    <row r="196" spans="1:41">
      <c r="A196"/>
      <c r="B196"/>
      <c r="C196" s="12" t="s">
        <v>18</v>
      </c>
      <c r="D196" s="5">
        <v>3</v>
      </c>
      <c r="E196" s="6">
        <v>130</v>
      </c>
      <c r="F196" s="7">
        <v>97</v>
      </c>
      <c r="G196" s="9">
        <v>1</v>
      </c>
      <c r="H196" s="10">
        <v>64</v>
      </c>
      <c r="I196" s="11">
        <v>49</v>
      </c>
      <c r="J196" s="5">
        <v>2.04</v>
      </c>
      <c r="K196" s="6">
        <v>95.26</v>
      </c>
      <c r="L196" s="7">
        <v>90.09</v>
      </c>
      <c r="M196" s="9">
        <v>0.5</v>
      </c>
      <c r="N196" s="10">
        <v>36.01</v>
      </c>
      <c r="O196" s="11">
        <v>28.12</v>
      </c>
      <c r="P196" s="5">
        <v>5</v>
      </c>
      <c r="Q196" s="6">
        <v>216</v>
      </c>
      <c r="R196" s="7">
        <v>203</v>
      </c>
      <c r="S196" s="9">
        <v>1</v>
      </c>
      <c r="T196" s="10">
        <v>88</v>
      </c>
      <c r="U196" s="11">
        <v>72</v>
      </c>
    </row>
    <row r="197" spans="1:41">
      <c r="A197"/>
      <c r="B197"/>
      <c r="C197" s="12" t="s">
        <v>20</v>
      </c>
      <c r="D197" s="5">
        <v>1</v>
      </c>
      <c r="E197" s="6">
        <v>79</v>
      </c>
      <c r="F197" s="7">
        <v>84</v>
      </c>
      <c r="G197" s="9">
        <v>0</v>
      </c>
      <c r="H197" s="10">
        <v>53</v>
      </c>
      <c r="I197" s="11">
        <v>71</v>
      </c>
      <c r="J197" s="5">
        <v>0.2</v>
      </c>
      <c r="K197" s="6">
        <v>60.67</v>
      </c>
      <c r="L197" s="7">
        <v>70.83</v>
      </c>
      <c r="M197" s="9">
        <v>0</v>
      </c>
      <c r="N197" s="10">
        <v>32.77</v>
      </c>
      <c r="O197" s="11">
        <v>48.11</v>
      </c>
      <c r="P197" s="5">
        <v>1</v>
      </c>
      <c r="Q197" s="6">
        <v>146</v>
      </c>
      <c r="R197" s="7">
        <v>163</v>
      </c>
      <c r="S197" s="9">
        <v>0</v>
      </c>
      <c r="T197" s="10">
        <v>83</v>
      </c>
      <c r="U197" s="11">
        <v>117</v>
      </c>
    </row>
    <row r="198" spans="1:41">
      <c r="C198" s="13" t="s">
        <v>26</v>
      </c>
      <c r="D198" s="13" t="str">
        <f>SUM(D195:D197)</f>
        <v>0</v>
      </c>
      <c r="E198" s="13" t="str">
        <f>SUM(E195:E197)</f>
        <v>0</v>
      </c>
      <c r="F198" s="13" t="str">
        <f>SUM(F195:F197)</f>
        <v>0</v>
      </c>
      <c r="G198" s="13" t="str">
        <f>SUM(G195:G197)</f>
        <v>0</v>
      </c>
      <c r="H198" s="13" t="str">
        <f>SUM(H195:H197)</f>
        <v>0</v>
      </c>
      <c r="I198" s="13" t="str">
        <f>SUM(I195:I197)</f>
        <v>0</v>
      </c>
      <c r="J198" s="13" t="str">
        <f>SUM(J195:J197)</f>
        <v>0</v>
      </c>
      <c r="K198" s="13" t="str">
        <f>SUM(K195:K197)</f>
        <v>0</v>
      </c>
      <c r="L198" s="13" t="str">
        <f>SUM(L195:L197)</f>
        <v>0</v>
      </c>
      <c r="M198" s="13" t="str">
        <f>SUM(M195:M197)</f>
        <v>0</v>
      </c>
      <c r="N198" s="13" t="str">
        <f>SUM(N195:N197)</f>
        <v>0</v>
      </c>
      <c r="O198" s="13" t="str">
        <f>SUM(O195:O197)</f>
        <v>0</v>
      </c>
      <c r="P198" s="13" t="str">
        <f>SUM(P195:P197)</f>
        <v>0</v>
      </c>
      <c r="Q198" s="13" t="str">
        <f>SUM(Q195:Q197)</f>
        <v>0</v>
      </c>
      <c r="R198" s="13" t="str">
        <f>SUM(R195:R197)</f>
        <v>0</v>
      </c>
      <c r="S198" s="13" t="str">
        <f>SUM(S195:S197)</f>
        <v>0</v>
      </c>
      <c r="T198" s="13" t="str">
        <f>SUM(T195:T197)</f>
        <v>0</v>
      </c>
      <c r="U198" s="13" t="str">
        <f>SUM(U195:U197)</f>
        <v>0</v>
      </c>
    </row>
    <row r="199" spans="1:41">
      <c r="A199"/>
      <c r="B199" s="14" t="s">
        <v>91</v>
      </c>
      <c r="C199" s="12" t="s">
        <v>18</v>
      </c>
      <c r="D199" s="5">
        <v>17</v>
      </c>
      <c r="E199" s="6">
        <v>158</v>
      </c>
      <c r="F199" s="7">
        <v>79</v>
      </c>
      <c r="G199" s="9">
        <v>5</v>
      </c>
      <c r="H199" s="10">
        <v>141</v>
      </c>
      <c r="I199" s="11">
        <v>54</v>
      </c>
      <c r="J199" s="5">
        <v>12</v>
      </c>
      <c r="K199" s="6">
        <v>131.71</v>
      </c>
      <c r="L199" s="7">
        <v>74.77</v>
      </c>
      <c r="M199" s="9">
        <v>3.75</v>
      </c>
      <c r="N199" s="10">
        <v>105.54</v>
      </c>
      <c r="O199" s="11">
        <v>47.85</v>
      </c>
      <c r="P199" s="5">
        <v>26</v>
      </c>
      <c r="Q199" s="6">
        <v>273</v>
      </c>
      <c r="R199" s="7">
        <v>154</v>
      </c>
      <c r="S199" s="9">
        <v>8</v>
      </c>
      <c r="T199" s="10">
        <v>218</v>
      </c>
      <c r="U199" s="11">
        <v>98</v>
      </c>
    </row>
    <row r="200" spans="1:41">
      <c r="A200"/>
      <c r="B200"/>
      <c r="C200" s="12" t="s">
        <v>20</v>
      </c>
      <c r="D200" s="5">
        <v>12</v>
      </c>
      <c r="E200" s="6">
        <v>81</v>
      </c>
      <c r="F200" s="7">
        <v>45</v>
      </c>
      <c r="G200" s="9">
        <v>3</v>
      </c>
      <c r="H200" s="10">
        <v>70</v>
      </c>
      <c r="I200" s="11">
        <v>35</v>
      </c>
      <c r="J200" s="5">
        <v>10.01</v>
      </c>
      <c r="K200" s="6">
        <v>74.34</v>
      </c>
      <c r="L200" s="7">
        <v>51.22</v>
      </c>
      <c r="M200" s="9">
        <v>2.4</v>
      </c>
      <c r="N200" s="10">
        <v>69.88</v>
      </c>
      <c r="O200" s="11">
        <v>33.01</v>
      </c>
      <c r="P200" s="5">
        <v>22</v>
      </c>
      <c r="Q200" s="6">
        <v>158</v>
      </c>
      <c r="R200" s="7">
        <v>107</v>
      </c>
      <c r="S200" s="9">
        <v>5</v>
      </c>
      <c r="T200" s="10">
        <v>147</v>
      </c>
      <c r="U200" s="11">
        <v>68</v>
      </c>
    </row>
    <row r="201" spans="1:41">
      <c r="A201"/>
      <c r="B201"/>
      <c r="C201" s="12" t="s">
        <v>40</v>
      </c>
      <c r="D201" s="5">
        <v>0</v>
      </c>
      <c r="E201" s="6">
        <v>0</v>
      </c>
      <c r="F201" s="7">
        <v>0</v>
      </c>
      <c r="G201" s="9">
        <v>0</v>
      </c>
      <c r="H201" s="10">
        <v>0</v>
      </c>
      <c r="I201" s="11">
        <v>0</v>
      </c>
      <c r="J201" s="5">
        <v>0</v>
      </c>
      <c r="K201" s="6">
        <v>0</v>
      </c>
      <c r="L201" s="7">
        <v>0</v>
      </c>
      <c r="M201" s="9">
        <v>0</v>
      </c>
      <c r="N201" s="10">
        <v>0</v>
      </c>
      <c r="O201" s="11">
        <v>0</v>
      </c>
      <c r="P201" s="5">
        <v>0</v>
      </c>
      <c r="Q201" s="6">
        <v>0</v>
      </c>
      <c r="R201" s="7">
        <v>0</v>
      </c>
      <c r="S201" s="9">
        <v>0</v>
      </c>
      <c r="T201" s="10">
        <v>0</v>
      </c>
      <c r="U201" s="11">
        <v>0</v>
      </c>
    </row>
    <row r="202" spans="1:41">
      <c r="C202" s="13" t="s">
        <v>26</v>
      </c>
      <c r="D202" s="13" t="str">
        <f>SUM(D199:D201)</f>
        <v>0</v>
      </c>
      <c r="E202" s="13" t="str">
        <f>SUM(E199:E201)</f>
        <v>0</v>
      </c>
      <c r="F202" s="13" t="str">
        <f>SUM(F199:F201)</f>
        <v>0</v>
      </c>
      <c r="G202" s="13" t="str">
        <f>SUM(G199:G201)</f>
        <v>0</v>
      </c>
      <c r="H202" s="13" t="str">
        <f>SUM(H199:H201)</f>
        <v>0</v>
      </c>
      <c r="I202" s="13" t="str">
        <f>SUM(I199:I201)</f>
        <v>0</v>
      </c>
      <c r="J202" s="13" t="str">
        <f>SUM(J199:J201)</f>
        <v>0</v>
      </c>
      <c r="K202" s="13" t="str">
        <f>SUM(K199:K201)</f>
        <v>0</v>
      </c>
      <c r="L202" s="13" t="str">
        <f>SUM(L199:L201)</f>
        <v>0</v>
      </c>
      <c r="M202" s="13" t="str">
        <f>SUM(M199:M201)</f>
        <v>0</v>
      </c>
      <c r="N202" s="13" t="str">
        <f>SUM(N199:N201)</f>
        <v>0</v>
      </c>
      <c r="O202" s="13" t="str">
        <f>SUM(O199:O201)</f>
        <v>0</v>
      </c>
      <c r="P202" s="13" t="str">
        <f>SUM(P199:P201)</f>
        <v>0</v>
      </c>
      <c r="Q202" s="13" t="str">
        <f>SUM(Q199:Q201)</f>
        <v>0</v>
      </c>
      <c r="R202" s="13" t="str">
        <f>SUM(R199:R201)</f>
        <v>0</v>
      </c>
      <c r="S202" s="13" t="str">
        <f>SUM(S199:S201)</f>
        <v>0</v>
      </c>
      <c r="T202" s="13" t="str">
        <f>SUM(T199:T201)</f>
        <v>0</v>
      </c>
      <c r="U202" s="13" t="str">
        <f>SUM(U199:U201)</f>
        <v>0</v>
      </c>
    </row>
    <row r="203" spans="1:41">
      <c r="A203"/>
      <c r="B203" s="14" t="s">
        <v>92</v>
      </c>
      <c r="C203" s="12" t="s">
        <v>18</v>
      </c>
      <c r="D203" s="5">
        <v>33</v>
      </c>
      <c r="E203" s="6">
        <v>756</v>
      </c>
      <c r="F203" s="7">
        <v>618</v>
      </c>
      <c r="G203" s="9">
        <v>7</v>
      </c>
      <c r="H203" s="10">
        <v>429</v>
      </c>
      <c r="I203" s="11">
        <v>394</v>
      </c>
      <c r="J203" s="5">
        <v>25.77</v>
      </c>
      <c r="K203" s="6">
        <v>541.93</v>
      </c>
      <c r="L203" s="7">
        <v>442.5</v>
      </c>
      <c r="M203" s="9">
        <v>7.27</v>
      </c>
      <c r="N203" s="10">
        <v>289.68</v>
      </c>
      <c r="O203" s="11">
        <v>291.23</v>
      </c>
      <c r="P203" s="5">
        <v>60</v>
      </c>
      <c r="Q203" s="6">
        <v>1309</v>
      </c>
      <c r="R203" s="7">
        <v>1085</v>
      </c>
      <c r="S203" s="9">
        <v>18</v>
      </c>
      <c r="T203" s="10">
        <v>714</v>
      </c>
      <c r="U203" s="11">
        <v>707</v>
      </c>
    </row>
    <row r="204" spans="1:41">
      <c r="A204"/>
      <c r="B204"/>
      <c r="C204" s="12" t="s">
        <v>20</v>
      </c>
      <c r="D204" s="5">
        <v>34</v>
      </c>
      <c r="E204" s="6">
        <v>922</v>
      </c>
      <c r="F204" s="7">
        <v>706</v>
      </c>
      <c r="G204" s="9">
        <v>14</v>
      </c>
      <c r="H204" s="10">
        <v>576</v>
      </c>
      <c r="I204" s="11">
        <v>433</v>
      </c>
      <c r="J204" s="5">
        <v>19.23</v>
      </c>
      <c r="K204" s="6">
        <v>642.38</v>
      </c>
      <c r="L204" s="7">
        <v>483.42</v>
      </c>
      <c r="M204" s="9">
        <v>8.65</v>
      </c>
      <c r="N204" s="10">
        <v>391.04</v>
      </c>
      <c r="O204" s="11">
        <v>298.26</v>
      </c>
      <c r="P204" s="5">
        <v>51</v>
      </c>
      <c r="Q204" s="6">
        <v>1585</v>
      </c>
      <c r="R204" s="7">
        <v>1216</v>
      </c>
      <c r="S204" s="9">
        <v>21</v>
      </c>
      <c r="T204" s="10">
        <v>970</v>
      </c>
      <c r="U204" s="11">
        <v>741</v>
      </c>
    </row>
    <row r="205" spans="1:41">
      <c r="C205" s="13" t="s">
        <v>26</v>
      </c>
      <c r="D205" s="13" t="str">
        <f>SUM(D203:D204)</f>
        <v>0</v>
      </c>
      <c r="E205" s="13" t="str">
        <f>SUM(E203:E204)</f>
        <v>0</v>
      </c>
      <c r="F205" s="13" t="str">
        <f>SUM(F203:F204)</f>
        <v>0</v>
      </c>
      <c r="G205" s="13" t="str">
        <f>SUM(G203:G204)</f>
        <v>0</v>
      </c>
      <c r="H205" s="13" t="str">
        <f>SUM(H203:H204)</f>
        <v>0</v>
      </c>
      <c r="I205" s="13" t="str">
        <f>SUM(I203:I204)</f>
        <v>0</v>
      </c>
      <c r="J205" s="13" t="str">
        <f>SUM(J203:J204)</f>
        <v>0</v>
      </c>
      <c r="K205" s="13" t="str">
        <f>SUM(K203:K204)</f>
        <v>0</v>
      </c>
      <c r="L205" s="13" t="str">
        <f>SUM(L203:L204)</f>
        <v>0</v>
      </c>
      <c r="M205" s="13" t="str">
        <f>SUM(M203:M204)</f>
        <v>0</v>
      </c>
      <c r="N205" s="13" t="str">
        <f>SUM(N203:N204)</f>
        <v>0</v>
      </c>
      <c r="O205" s="13" t="str">
        <f>SUM(O203:O204)</f>
        <v>0</v>
      </c>
      <c r="P205" s="13" t="str">
        <f>SUM(P203:P204)</f>
        <v>0</v>
      </c>
      <c r="Q205" s="13" t="str">
        <f>SUM(Q203:Q204)</f>
        <v>0</v>
      </c>
      <c r="R205" s="13" t="str">
        <f>SUM(R203:R204)</f>
        <v>0</v>
      </c>
      <c r="S205" s="13" t="str">
        <f>SUM(S203:S204)</f>
        <v>0</v>
      </c>
      <c r="T205" s="13" t="str">
        <f>SUM(T203:T204)</f>
        <v>0</v>
      </c>
      <c r="U205" s="13" t="str">
        <f>SUM(U203:U204)</f>
        <v>0</v>
      </c>
    </row>
    <row r="206" spans="1:41">
      <c r="A206" s="9" t="s">
        <v>93</v>
      </c>
      <c r="B206" s="11" t="s">
        <v>94</v>
      </c>
      <c r="C206" s="12" t="s">
        <v>42</v>
      </c>
      <c r="D206" s="5">
        <v>4</v>
      </c>
      <c r="E206" s="6">
        <v>31</v>
      </c>
      <c r="F206" s="7">
        <v>31</v>
      </c>
      <c r="G206" s="9">
        <v>1</v>
      </c>
      <c r="H206" s="10">
        <v>21</v>
      </c>
      <c r="I206" s="11">
        <v>29</v>
      </c>
      <c r="J206" s="5">
        <v>1.13</v>
      </c>
      <c r="K206" s="6">
        <v>9.67</v>
      </c>
      <c r="L206" s="7">
        <v>19.54</v>
      </c>
      <c r="M206" s="9">
        <v>0.25</v>
      </c>
      <c r="N206" s="10">
        <v>7.53</v>
      </c>
      <c r="O206" s="11">
        <v>11.21</v>
      </c>
      <c r="P206" s="5">
        <v>4</v>
      </c>
      <c r="Q206" s="6">
        <v>35</v>
      </c>
      <c r="R206" s="7">
        <v>50</v>
      </c>
      <c r="S206" s="9">
        <v>1</v>
      </c>
      <c r="T206" s="10">
        <v>24</v>
      </c>
      <c r="U206" s="11">
        <v>35</v>
      </c>
    </row>
    <row r="207" spans="1:41">
      <c r="A207"/>
      <c r="B207"/>
      <c r="C207" s="12" t="s">
        <v>30</v>
      </c>
      <c r="D207" s="5">
        <v>28</v>
      </c>
      <c r="E207" s="6">
        <v>558</v>
      </c>
      <c r="F207" s="7">
        <v>422</v>
      </c>
      <c r="G207" s="9">
        <v>16</v>
      </c>
      <c r="H207" s="10">
        <v>424</v>
      </c>
      <c r="I207" s="11">
        <v>432</v>
      </c>
      <c r="J207" s="5">
        <v>9.47</v>
      </c>
      <c r="K207" s="6">
        <v>303.73</v>
      </c>
      <c r="L207" s="7">
        <v>245.67</v>
      </c>
      <c r="M207" s="9">
        <v>10.15</v>
      </c>
      <c r="N207" s="10">
        <v>207.63</v>
      </c>
      <c r="O207" s="11">
        <v>234.15</v>
      </c>
      <c r="P207" s="5">
        <v>32</v>
      </c>
      <c r="Q207" s="6">
        <v>796</v>
      </c>
      <c r="R207" s="7">
        <v>637</v>
      </c>
      <c r="S207" s="9">
        <v>26</v>
      </c>
      <c r="T207" s="10">
        <v>577</v>
      </c>
      <c r="U207" s="11">
        <v>627</v>
      </c>
    </row>
    <row r="208" spans="1:41">
      <c r="A208"/>
      <c r="B208"/>
      <c r="C208" s="12" t="s">
        <v>16</v>
      </c>
      <c r="D208" s="5">
        <v>36</v>
      </c>
      <c r="E208" s="6">
        <v>951</v>
      </c>
      <c r="F208" s="7">
        <v>661</v>
      </c>
      <c r="G208" s="9">
        <v>25</v>
      </c>
      <c r="H208" s="10">
        <v>806</v>
      </c>
      <c r="I208" s="11">
        <v>698</v>
      </c>
      <c r="J208" s="5">
        <v>12.14</v>
      </c>
      <c r="K208" s="6">
        <v>447.57</v>
      </c>
      <c r="L208" s="7">
        <v>362.43</v>
      </c>
      <c r="M208" s="9">
        <v>10.65</v>
      </c>
      <c r="N208" s="10">
        <v>349.21</v>
      </c>
      <c r="O208" s="11">
        <v>312.26</v>
      </c>
      <c r="P208" s="5">
        <v>40</v>
      </c>
      <c r="Q208" s="6">
        <v>1252</v>
      </c>
      <c r="R208" s="7">
        <v>959</v>
      </c>
      <c r="S208" s="9">
        <v>31</v>
      </c>
      <c r="T208" s="10">
        <v>1013</v>
      </c>
      <c r="U208" s="11">
        <v>903</v>
      </c>
    </row>
    <row r="209" spans="1:41">
      <c r="A209"/>
      <c r="B209"/>
      <c r="C209" s="12" t="s">
        <v>18</v>
      </c>
      <c r="D209" s="5">
        <v>43</v>
      </c>
      <c r="E209" s="6">
        <v>927</v>
      </c>
      <c r="F209" s="7">
        <v>781</v>
      </c>
      <c r="G209" s="9">
        <v>33</v>
      </c>
      <c r="H209" s="10">
        <v>761</v>
      </c>
      <c r="I209" s="11">
        <v>874</v>
      </c>
      <c r="J209" s="5">
        <v>16.9</v>
      </c>
      <c r="K209" s="6">
        <v>457.19</v>
      </c>
      <c r="L209" s="7">
        <v>456.95</v>
      </c>
      <c r="M209" s="9">
        <v>12.99</v>
      </c>
      <c r="N209" s="10">
        <v>328.13</v>
      </c>
      <c r="O209" s="11">
        <v>418.6</v>
      </c>
      <c r="P209" s="5">
        <v>54</v>
      </c>
      <c r="Q209" s="6">
        <v>1306</v>
      </c>
      <c r="R209" s="7">
        <v>1229</v>
      </c>
      <c r="S209" s="9">
        <v>42</v>
      </c>
      <c r="T209" s="10">
        <v>996</v>
      </c>
      <c r="U209" s="11">
        <v>1213</v>
      </c>
    </row>
    <row r="210" spans="1:41">
      <c r="A210"/>
      <c r="B210"/>
      <c r="C210" s="12" t="s">
        <v>20</v>
      </c>
      <c r="D210" s="5">
        <v>52</v>
      </c>
      <c r="E210" s="6">
        <v>1737</v>
      </c>
      <c r="F210" s="7">
        <v>1215</v>
      </c>
      <c r="G210" s="9">
        <v>36</v>
      </c>
      <c r="H210" s="10">
        <v>1333</v>
      </c>
      <c r="I210" s="11">
        <v>1204</v>
      </c>
      <c r="J210" s="5">
        <v>30.59</v>
      </c>
      <c r="K210" s="6">
        <v>839.82</v>
      </c>
      <c r="L210" s="7">
        <v>672.07</v>
      </c>
      <c r="M210" s="9">
        <v>18.27</v>
      </c>
      <c r="N210" s="10">
        <v>603.48</v>
      </c>
      <c r="O210" s="11">
        <v>553.52</v>
      </c>
      <c r="P210" s="5">
        <v>81</v>
      </c>
      <c r="Q210" s="6">
        <v>2379</v>
      </c>
      <c r="R210" s="7">
        <v>1815</v>
      </c>
      <c r="S210" s="9">
        <v>51</v>
      </c>
      <c r="T210" s="10">
        <v>1795</v>
      </c>
      <c r="U210" s="11">
        <v>1631</v>
      </c>
    </row>
    <row r="211" spans="1:41">
      <c r="A211"/>
      <c r="B211"/>
      <c r="C211" s="12" t="s">
        <v>36</v>
      </c>
      <c r="D211" s="5">
        <v>15</v>
      </c>
      <c r="E211" s="6">
        <v>239</v>
      </c>
      <c r="F211" s="7">
        <v>214</v>
      </c>
      <c r="G211" s="9">
        <v>7</v>
      </c>
      <c r="H211" s="10">
        <v>178</v>
      </c>
      <c r="I211" s="11">
        <v>144</v>
      </c>
      <c r="J211" s="5">
        <v>6.84</v>
      </c>
      <c r="K211" s="6">
        <v>117.27</v>
      </c>
      <c r="L211" s="7">
        <v>120.47</v>
      </c>
      <c r="M211" s="9">
        <v>4.14</v>
      </c>
      <c r="N211" s="10">
        <v>90.65</v>
      </c>
      <c r="O211" s="11">
        <v>67.32</v>
      </c>
      <c r="P211" s="5">
        <v>19</v>
      </c>
      <c r="Q211" s="6">
        <v>315</v>
      </c>
      <c r="R211" s="7">
        <v>310</v>
      </c>
      <c r="S211" s="9">
        <v>10</v>
      </c>
      <c r="T211" s="10">
        <v>243</v>
      </c>
      <c r="U211" s="11">
        <v>188</v>
      </c>
    </row>
    <row r="212" spans="1:41">
      <c r="A212"/>
      <c r="B212"/>
      <c r="C212" s="12" t="s">
        <v>37</v>
      </c>
      <c r="D212" s="5">
        <v>0</v>
      </c>
      <c r="E212" s="6">
        <v>38</v>
      </c>
      <c r="F212" s="7">
        <v>49</v>
      </c>
      <c r="G212" s="9">
        <v>4</v>
      </c>
      <c r="H212" s="10">
        <v>39</v>
      </c>
      <c r="I212" s="11">
        <v>57</v>
      </c>
      <c r="J212" s="5">
        <v>0</v>
      </c>
      <c r="K212" s="6">
        <v>25.43</v>
      </c>
      <c r="L212" s="7">
        <v>32.34</v>
      </c>
      <c r="M212" s="9">
        <v>0.91</v>
      </c>
      <c r="N212" s="10">
        <v>18.59</v>
      </c>
      <c r="O212" s="11">
        <v>29.63</v>
      </c>
      <c r="P212" s="5">
        <v>0</v>
      </c>
      <c r="Q212" s="6">
        <v>67</v>
      </c>
      <c r="R212" s="7">
        <v>86</v>
      </c>
      <c r="S212" s="9">
        <v>4</v>
      </c>
      <c r="T212" s="10">
        <v>55</v>
      </c>
      <c r="U212" s="11">
        <v>82</v>
      </c>
    </row>
    <row r="213" spans="1:41">
      <c r="A213"/>
      <c r="B213"/>
      <c r="C213" s="12" t="s">
        <v>22</v>
      </c>
      <c r="D213" s="5">
        <v>8</v>
      </c>
      <c r="E213" s="6">
        <v>98</v>
      </c>
      <c r="F213" s="7">
        <v>59</v>
      </c>
      <c r="G213" s="9">
        <v>7</v>
      </c>
      <c r="H213" s="10">
        <v>92</v>
      </c>
      <c r="I213" s="11">
        <v>59</v>
      </c>
      <c r="J213" s="5">
        <v>4.06</v>
      </c>
      <c r="K213" s="6">
        <v>51.1</v>
      </c>
      <c r="L213" s="7">
        <v>29.52</v>
      </c>
      <c r="M213" s="9">
        <v>3.03</v>
      </c>
      <c r="N213" s="10">
        <v>51.55</v>
      </c>
      <c r="O213" s="11">
        <v>24.83</v>
      </c>
      <c r="P213" s="5">
        <v>10</v>
      </c>
      <c r="Q213" s="6">
        <v>129</v>
      </c>
      <c r="R213" s="7">
        <v>74</v>
      </c>
      <c r="S213" s="9">
        <v>8</v>
      </c>
      <c r="T213" s="10">
        <v>128</v>
      </c>
      <c r="U213" s="11">
        <v>71</v>
      </c>
    </row>
    <row r="214" spans="1:41">
      <c r="A214"/>
      <c r="B214"/>
      <c r="C214" s="12" t="s">
        <v>23</v>
      </c>
      <c r="D214" s="5">
        <v>9</v>
      </c>
      <c r="E214" s="6">
        <v>277</v>
      </c>
      <c r="F214" s="7">
        <v>159</v>
      </c>
      <c r="G214" s="9">
        <v>7</v>
      </c>
      <c r="H214" s="10">
        <v>238</v>
      </c>
      <c r="I214" s="11">
        <v>186</v>
      </c>
      <c r="J214" s="5">
        <v>5.85</v>
      </c>
      <c r="K214" s="6">
        <v>149.56</v>
      </c>
      <c r="L214" s="7">
        <v>105.09</v>
      </c>
      <c r="M214" s="9">
        <v>6.86</v>
      </c>
      <c r="N214" s="10">
        <v>121.05</v>
      </c>
      <c r="O214" s="11">
        <v>107.94</v>
      </c>
      <c r="P214" s="5">
        <v>14</v>
      </c>
      <c r="Q214" s="6">
        <v>397</v>
      </c>
      <c r="R214" s="7">
        <v>253</v>
      </c>
      <c r="S214" s="9">
        <v>17</v>
      </c>
      <c r="T214" s="10">
        <v>335</v>
      </c>
      <c r="U214" s="11">
        <v>278</v>
      </c>
    </row>
    <row r="215" spans="1:41">
      <c r="A215"/>
      <c r="B215"/>
      <c r="C215" s="12" t="s">
        <v>39</v>
      </c>
      <c r="D215" s="5">
        <v>0</v>
      </c>
      <c r="E215" s="6">
        <v>0</v>
      </c>
      <c r="F215" s="7">
        <v>0</v>
      </c>
      <c r="G215" s="9">
        <v>0</v>
      </c>
      <c r="H215" s="10">
        <v>0</v>
      </c>
      <c r="I215" s="11">
        <v>0</v>
      </c>
      <c r="J215" s="5">
        <v>0</v>
      </c>
      <c r="K215" s="6">
        <v>0</v>
      </c>
      <c r="L215" s="7">
        <v>0</v>
      </c>
      <c r="M215" s="9">
        <v>0</v>
      </c>
      <c r="N215" s="10">
        <v>0</v>
      </c>
      <c r="O215" s="11">
        <v>0</v>
      </c>
      <c r="P215" s="5">
        <v>0</v>
      </c>
      <c r="Q215" s="6">
        <v>0</v>
      </c>
      <c r="R215" s="7">
        <v>0</v>
      </c>
      <c r="S215" s="9">
        <v>0</v>
      </c>
      <c r="T215" s="10">
        <v>0</v>
      </c>
      <c r="U215" s="11">
        <v>0</v>
      </c>
    </row>
    <row r="216" spans="1:41">
      <c r="A216"/>
      <c r="B216"/>
      <c r="C216" s="12" t="s">
        <v>38</v>
      </c>
      <c r="D216" s="5">
        <v>1</v>
      </c>
      <c r="E216" s="6">
        <v>44</v>
      </c>
      <c r="F216" s="7">
        <v>27</v>
      </c>
      <c r="G216" s="9">
        <v>0</v>
      </c>
      <c r="H216" s="10">
        <v>27</v>
      </c>
      <c r="I216" s="11">
        <v>21</v>
      </c>
      <c r="J216" s="5">
        <v>0.25</v>
      </c>
      <c r="K216" s="6">
        <v>28.31</v>
      </c>
      <c r="L216" s="7">
        <v>16.76</v>
      </c>
      <c r="M216" s="9">
        <v>0</v>
      </c>
      <c r="N216" s="10">
        <v>10.93</v>
      </c>
      <c r="O216" s="11">
        <v>9.19</v>
      </c>
      <c r="P216" s="5">
        <v>1</v>
      </c>
      <c r="Q216" s="6">
        <v>72</v>
      </c>
      <c r="R216" s="7">
        <v>41</v>
      </c>
      <c r="S216" s="9">
        <v>0</v>
      </c>
      <c r="T216" s="10">
        <v>34</v>
      </c>
      <c r="U216" s="11">
        <v>28</v>
      </c>
    </row>
    <row r="217" spans="1:41">
      <c r="C217" s="13" t="s">
        <v>26</v>
      </c>
      <c r="D217" s="13" t="str">
        <f>SUM(D206:D216)</f>
        <v>0</v>
      </c>
      <c r="E217" s="13" t="str">
        <f>SUM(E206:E216)</f>
        <v>0</v>
      </c>
      <c r="F217" s="13" t="str">
        <f>SUM(F206:F216)</f>
        <v>0</v>
      </c>
      <c r="G217" s="13" t="str">
        <f>SUM(G206:G216)</f>
        <v>0</v>
      </c>
      <c r="H217" s="13" t="str">
        <f>SUM(H206:H216)</f>
        <v>0</v>
      </c>
      <c r="I217" s="13" t="str">
        <f>SUM(I206:I216)</f>
        <v>0</v>
      </c>
      <c r="J217" s="13" t="str">
        <f>SUM(J206:J216)</f>
        <v>0</v>
      </c>
      <c r="K217" s="13" t="str">
        <f>SUM(K206:K216)</f>
        <v>0</v>
      </c>
      <c r="L217" s="13" t="str">
        <f>SUM(L206:L216)</f>
        <v>0</v>
      </c>
      <c r="M217" s="13" t="str">
        <f>SUM(M206:M216)</f>
        <v>0</v>
      </c>
      <c r="N217" s="13" t="str">
        <f>SUM(N206:N216)</f>
        <v>0</v>
      </c>
      <c r="O217" s="13" t="str">
        <f>SUM(O206:O216)</f>
        <v>0</v>
      </c>
      <c r="P217" s="13" t="str">
        <f>SUM(P206:P216)</f>
        <v>0</v>
      </c>
      <c r="Q217" s="13" t="str">
        <f>SUM(Q206:Q216)</f>
        <v>0</v>
      </c>
      <c r="R217" s="13" t="str">
        <f>SUM(R206:R216)</f>
        <v>0</v>
      </c>
      <c r="S217" s="13" t="str">
        <f>SUM(S206:S216)</f>
        <v>0</v>
      </c>
      <c r="T217" s="13" t="str">
        <f>SUM(T206:T216)</f>
        <v>0</v>
      </c>
      <c r="U217" s="13" t="str">
        <f>SUM(U206:U216)</f>
        <v>0</v>
      </c>
    </row>
    <row r="218" spans="1:41">
      <c r="A218"/>
      <c r="B218" s="14" t="s">
        <v>95</v>
      </c>
      <c r="C218" s="12" t="s">
        <v>42</v>
      </c>
      <c r="D218" s="5">
        <v>2</v>
      </c>
      <c r="E218" s="6">
        <v>47</v>
      </c>
      <c r="F218" s="7">
        <v>39</v>
      </c>
      <c r="G218" s="9">
        <v>0</v>
      </c>
      <c r="H218" s="10">
        <v>41</v>
      </c>
      <c r="I218" s="11">
        <v>33</v>
      </c>
      <c r="J218" s="5">
        <v>0.99</v>
      </c>
      <c r="K218" s="6">
        <v>47.84</v>
      </c>
      <c r="L218" s="7">
        <v>35.31</v>
      </c>
      <c r="M218" s="9">
        <v>0</v>
      </c>
      <c r="N218" s="10">
        <v>32.48</v>
      </c>
      <c r="O218" s="11">
        <v>23.63</v>
      </c>
      <c r="P218" s="5">
        <v>3</v>
      </c>
      <c r="Q218" s="6">
        <v>110</v>
      </c>
      <c r="R218" s="7">
        <v>82</v>
      </c>
      <c r="S218" s="9">
        <v>0</v>
      </c>
      <c r="T218" s="10">
        <v>78</v>
      </c>
      <c r="U218" s="11">
        <v>61</v>
      </c>
    </row>
    <row r="219" spans="1:41">
      <c r="A219"/>
      <c r="B219"/>
      <c r="C219" s="12" t="s">
        <v>30</v>
      </c>
      <c r="D219" s="5">
        <v>32</v>
      </c>
      <c r="E219" s="6">
        <v>464</v>
      </c>
      <c r="F219" s="7">
        <v>285</v>
      </c>
      <c r="G219" s="9">
        <v>18</v>
      </c>
      <c r="H219" s="10">
        <v>316</v>
      </c>
      <c r="I219" s="11">
        <v>303</v>
      </c>
      <c r="J219" s="5">
        <v>26.15</v>
      </c>
      <c r="K219" s="6">
        <v>379.53</v>
      </c>
      <c r="L219" s="7">
        <v>271.4</v>
      </c>
      <c r="M219" s="9">
        <v>15.32</v>
      </c>
      <c r="N219" s="10">
        <v>239.68</v>
      </c>
      <c r="O219" s="11">
        <v>237.29</v>
      </c>
      <c r="P219" s="5">
        <v>59</v>
      </c>
      <c r="Q219" s="6">
        <v>897</v>
      </c>
      <c r="R219" s="7">
        <v>635</v>
      </c>
      <c r="S219" s="9">
        <v>35</v>
      </c>
      <c r="T219" s="10">
        <v>585</v>
      </c>
      <c r="U219" s="11">
        <v>567</v>
      </c>
    </row>
    <row r="220" spans="1:41">
      <c r="A220"/>
      <c r="B220"/>
      <c r="C220" s="12" t="s">
        <v>16</v>
      </c>
      <c r="D220" s="5">
        <v>59</v>
      </c>
      <c r="E220" s="6">
        <v>1254</v>
      </c>
      <c r="F220" s="7">
        <v>704</v>
      </c>
      <c r="G220" s="9">
        <v>40</v>
      </c>
      <c r="H220" s="10">
        <v>977</v>
      </c>
      <c r="I220" s="11">
        <v>705</v>
      </c>
      <c r="J220" s="5">
        <v>58.44</v>
      </c>
      <c r="K220" s="6">
        <v>1159.7</v>
      </c>
      <c r="L220" s="7">
        <v>737.47</v>
      </c>
      <c r="M220" s="9">
        <v>27.61</v>
      </c>
      <c r="N220" s="10">
        <v>832.23</v>
      </c>
      <c r="O220" s="11">
        <v>630.17</v>
      </c>
      <c r="P220" s="5">
        <v>133</v>
      </c>
      <c r="Q220" s="6">
        <v>2666</v>
      </c>
      <c r="R220" s="7">
        <v>1657</v>
      </c>
      <c r="S220" s="9">
        <v>68</v>
      </c>
      <c r="T220" s="10">
        <v>1951</v>
      </c>
      <c r="U220" s="11">
        <v>1467</v>
      </c>
    </row>
    <row r="221" spans="1:41">
      <c r="A221"/>
      <c r="B221"/>
      <c r="C221" s="12" t="s">
        <v>17</v>
      </c>
      <c r="D221" s="5">
        <v>0</v>
      </c>
      <c r="E221" s="6">
        <v>19</v>
      </c>
      <c r="F221" s="7">
        <v>18</v>
      </c>
      <c r="G221" s="9">
        <v>2</v>
      </c>
      <c r="H221" s="10">
        <v>13</v>
      </c>
      <c r="I221" s="11">
        <v>17</v>
      </c>
      <c r="J221" s="5">
        <v>0</v>
      </c>
      <c r="K221" s="6">
        <v>25.42</v>
      </c>
      <c r="L221" s="7">
        <v>34.67</v>
      </c>
      <c r="M221" s="9">
        <v>0.84</v>
      </c>
      <c r="N221" s="10">
        <v>10.54</v>
      </c>
      <c r="O221" s="11">
        <v>17.67</v>
      </c>
      <c r="P221" s="5">
        <v>0</v>
      </c>
      <c r="Q221" s="6">
        <v>56</v>
      </c>
      <c r="R221" s="7">
        <v>74</v>
      </c>
      <c r="S221" s="9">
        <v>2</v>
      </c>
      <c r="T221" s="10">
        <v>25</v>
      </c>
      <c r="U221" s="11">
        <v>43</v>
      </c>
    </row>
    <row r="222" spans="1:41">
      <c r="A222"/>
      <c r="B222"/>
      <c r="C222" s="12" t="s">
        <v>18</v>
      </c>
      <c r="D222" s="5">
        <v>91</v>
      </c>
      <c r="E222" s="6">
        <v>1814</v>
      </c>
      <c r="F222" s="7">
        <v>1213</v>
      </c>
      <c r="G222" s="9">
        <v>66</v>
      </c>
      <c r="H222" s="10">
        <v>1359</v>
      </c>
      <c r="I222" s="11">
        <v>1210</v>
      </c>
      <c r="J222" s="5">
        <v>58.1</v>
      </c>
      <c r="K222" s="6">
        <v>1508.2</v>
      </c>
      <c r="L222" s="7">
        <v>1126.5</v>
      </c>
      <c r="M222" s="9">
        <v>40.15</v>
      </c>
      <c r="N222" s="10">
        <v>1024.12</v>
      </c>
      <c r="O222" s="11">
        <v>968.55</v>
      </c>
      <c r="P222" s="5">
        <v>141</v>
      </c>
      <c r="Q222" s="6">
        <v>3511</v>
      </c>
      <c r="R222" s="7">
        <v>2601</v>
      </c>
      <c r="S222" s="9">
        <v>101</v>
      </c>
      <c r="T222" s="10">
        <v>2456</v>
      </c>
      <c r="U222" s="11">
        <v>2311</v>
      </c>
    </row>
    <row r="223" spans="1:41">
      <c r="A223"/>
      <c r="B223"/>
      <c r="C223" s="12" t="s">
        <v>20</v>
      </c>
      <c r="D223" s="5">
        <v>195</v>
      </c>
      <c r="E223" s="6">
        <v>3257</v>
      </c>
      <c r="F223" s="7">
        <v>1800</v>
      </c>
      <c r="G223" s="9">
        <v>111</v>
      </c>
      <c r="H223" s="10">
        <v>2251</v>
      </c>
      <c r="I223" s="11">
        <v>1786</v>
      </c>
      <c r="J223" s="5">
        <v>151.47</v>
      </c>
      <c r="K223" s="6">
        <v>3053.48</v>
      </c>
      <c r="L223" s="7">
        <v>1824.69</v>
      </c>
      <c r="M223" s="9">
        <v>63.72</v>
      </c>
      <c r="N223" s="10">
        <v>1859.68</v>
      </c>
      <c r="O223" s="11">
        <v>1608.86</v>
      </c>
      <c r="P223" s="5">
        <v>358</v>
      </c>
      <c r="Q223" s="6">
        <v>6982</v>
      </c>
      <c r="R223" s="7">
        <v>4142</v>
      </c>
      <c r="S223" s="9">
        <v>169</v>
      </c>
      <c r="T223" s="10">
        <v>4403</v>
      </c>
      <c r="U223" s="11">
        <v>3748</v>
      </c>
    </row>
    <row r="224" spans="1:41">
      <c r="A224"/>
      <c r="B224"/>
      <c r="C224" s="12" t="s">
        <v>36</v>
      </c>
      <c r="D224" s="5">
        <v>58</v>
      </c>
      <c r="E224" s="6">
        <v>839</v>
      </c>
      <c r="F224" s="7">
        <v>521</v>
      </c>
      <c r="G224" s="9">
        <v>31</v>
      </c>
      <c r="H224" s="10">
        <v>688</v>
      </c>
      <c r="I224" s="11">
        <v>506</v>
      </c>
      <c r="J224" s="5">
        <v>50.7</v>
      </c>
      <c r="K224" s="6">
        <v>726.57</v>
      </c>
      <c r="L224" s="7">
        <v>544.13</v>
      </c>
      <c r="M224" s="9">
        <v>19.51</v>
      </c>
      <c r="N224" s="10">
        <v>548.86</v>
      </c>
      <c r="O224" s="11">
        <v>459.53</v>
      </c>
      <c r="P224" s="5">
        <v>117</v>
      </c>
      <c r="Q224" s="6">
        <v>1663</v>
      </c>
      <c r="R224" s="7">
        <v>1220</v>
      </c>
      <c r="S224" s="9">
        <v>47</v>
      </c>
      <c r="T224" s="10">
        <v>1290</v>
      </c>
      <c r="U224" s="11">
        <v>1059</v>
      </c>
    </row>
    <row r="225" spans="1:41">
      <c r="A225"/>
      <c r="B225"/>
      <c r="C225" s="12" t="s">
        <v>37</v>
      </c>
      <c r="D225" s="5">
        <v>1</v>
      </c>
      <c r="E225" s="6">
        <v>63</v>
      </c>
      <c r="F225" s="7">
        <v>46</v>
      </c>
      <c r="G225" s="9">
        <v>3</v>
      </c>
      <c r="H225" s="10">
        <v>34</v>
      </c>
      <c r="I225" s="11">
        <v>23</v>
      </c>
      <c r="J225" s="5">
        <v>0.5</v>
      </c>
      <c r="K225" s="6">
        <v>71.08</v>
      </c>
      <c r="L225" s="7">
        <v>56.42</v>
      </c>
      <c r="M225" s="9">
        <v>2.5</v>
      </c>
      <c r="N225" s="10">
        <v>37.84</v>
      </c>
      <c r="O225" s="11">
        <v>21.78</v>
      </c>
      <c r="P225" s="5">
        <v>1</v>
      </c>
      <c r="Q225" s="6">
        <v>159</v>
      </c>
      <c r="R225" s="7">
        <v>126</v>
      </c>
      <c r="S225" s="9">
        <v>5</v>
      </c>
      <c r="T225" s="10">
        <v>86</v>
      </c>
      <c r="U225" s="11">
        <v>49</v>
      </c>
    </row>
    <row r="226" spans="1:41">
      <c r="A226"/>
      <c r="B226"/>
      <c r="C226" s="12" t="s">
        <v>32</v>
      </c>
      <c r="D226" s="5">
        <v>0</v>
      </c>
      <c r="E226" s="6">
        <v>6</v>
      </c>
      <c r="F226" s="7">
        <v>5</v>
      </c>
      <c r="G226" s="9">
        <v>0</v>
      </c>
      <c r="H226" s="10">
        <v>3</v>
      </c>
      <c r="I226" s="11">
        <v>5</v>
      </c>
      <c r="J226" s="5">
        <v>0</v>
      </c>
      <c r="K226" s="6">
        <v>17.39</v>
      </c>
      <c r="L226" s="7">
        <v>7.27</v>
      </c>
      <c r="M226" s="9">
        <v>0</v>
      </c>
      <c r="N226" s="10">
        <v>3.89</v>
      </c>
      <c r="O226" s="11">
        <v>7.03</v>
      </c>
      <c r="P226" s="5">
        <v>0</v>
      </c>
      <c r="Q226" s="6">
        <v>36</v>
      </c>
      <c r="R226" s="7">
        <v>17</v>
      </c>
      <c r="S226" s="9">
        <v>0</v>
      </c>
      <c r="T226" s="10">
        <v>9</v>
      </c>
      <c r="U226" s="11">
        <v>16</v>
      </c>
    </row>
    <row r="227" spans="1:41">
      <c r="A227"/>
      <c r="B227"/>
      <c r="C227" s="12" t="s">
        <v>22</v>
      </c>
      <c r="D227" s="5">
        <v>25</v>
      </c>
      <c r="E227" s="6">
        <v>485</v>
      </c>
      <c r="F227" s="7">
        <v>400</v>
      </c>
      <c r="G227" s="9">
        <v>19</v>
      </c>
      <c r="H227" s="10">
        <v>388</v>
      </c>
      <c r="I227" s="11">
        <v>406</v>
      </c>
      <c r="J227" s="5">
        <v>25.67</v>
      </c>
      <c r="K227" s="6">
        <v>398.59</v>
      </c>
      <c r="L227" s="7">
        <v>325.88</v>
      </c>
      <c r="M227" s="9">
        <v>12.44</v>
      </c>
      <c r="N227" s="10">
        <v>292.42</v>
      </c>
      <c r="O227" s="11">
        <v>296.44</v>
      </c>
      <c r="P227" s="5">
        <v>62</v>
      </c>
      <c r="Q227" s="6">
        <v>962</v>
      </c>
      <c r="R227" s="7">
        <v>788</v>
      </c>
      <c r="S227" s="9">
        <v>31</v>
      </c>
      <c r="T227" s="10">
        <v>731</v>
      </c>
      <c r="U227" s="11">
        <v>736</v>
      </c>
    </row>
    <row r="228" spans="1:41">
      <c r="A228"/>
      <c r="B228"/>
      <c r="C228" s="12" t="s">
        <v>23</v>
      </c>
      <c r="D228" s="5">
        <v>23</v>
      </c>
      <c r="E228" s="6">
        <v>278</v>
      </c>
      <c r="F228" s="7">
        <v>171</v>
      </c>
      <c r="G228" s="9">
        <v>3</v>
      </c>
      <c r="H228" s="10">
        <v>165</v>
      </c>
      <c r="I228" s="11">
        <v>150</v>
      </c>
      <c r="J228" s="5">
        <v>12.68</v>
      </c>
      <c r="K228" s="6">
        <v>249.13</v>
      </c>
      <c r="L228" s="7">
        <v>139.18</v>
      </c>
      <c r="M228" s="9">
        <v>2</v>
      </c>
      <c r="N228" s="10">
        <v>125.74</v>
      </c>
      <c r="O228" s="11">
        <v>127.09</v>
      </c>
      <c r="P228" s="5">
        <v>34</v>
      </c>
      <c r="Q228" s="6">
        <v>581</v>
      </c>
      <c r="R228" s="7">
        <v>331</v>
      </c>
      <c r="S228" s="9">
        <v>5</v>
      </c>
      <c r="T228" s="10">
        <v>302</v>
      </c>
      <c r="U228" s="11">
        <v>304</v>
      </c>
    </row>
    <row r="229" spans="1:41">
      <c r="A229"/>
      <c r="B229"/>
      <c r="C229" s="12" t="s">
        <v>34</v>
      </c>
      <c r="D229" s="5">
        <v>1</v>
      </c>
      <c r="E229" s="6">
        <v>32</v>
      </c>
      <c r="F229" s="7">
        <v>21</v>
      </c>
      <c r="G229" s="9">
        <v>2</v>
      </c>
      <c r="H229" s="10">
        <v>31</v>
      </c>
      <c r="I229" s="11">
        <v>22</v>
      </c>
      <c r="J229" s="5">
        <v>2.25</v>
      </c>
      <c r="K229" s="6">
        <v>31.21</v>
      </c>
      <c r="L229" s="7">
        <v>37.83</v>
      </c>
      <c r="M229" s="9">
        <v>1</v>
      </c>
      <c r="N229" s="10">
        <v>27.64</v>
      </c>
      <c r="O229" s="11">
        <v>31.28</v>
      </c>
      <c r="P229" s="5">
        <v>5</v>
      </c>
      <c r="Q229" s="6">
        <v>72</v>
      </c>
      <c r="R229" s="7">
        <v>78</v>
      </c>
      <c r="S229" s="9">
        <v>2</v>
      </c>
      <c r="T229" s="10">
        <v>64</v>
      </c>
      <c r="U229" s="11">
        <v>70</v>
      </c>
    </row>
    <row r="230" spans="1:41">
      <c r="A230"/>
      <c r="B230"/>
      <c r="C230" s="12" t="s">
        <v>39</v>
      </c>
      <c r="D230" s="5">
        <v>7</v>
      </c>
      <c r="E230" s="6">
        <v>167</v>
      </c>
      <c r="F230" s="7">
        <v>113</v>
      </c>
      <c r="G230" s="9">
        <v>7</v>
      </c>
      <c r="H230" s="10">
        <v>161</v>
      </c>
      <c r="I230" s="11">
        <v>137</v>
      </c>
      <c r="J230" s="5">
        <v>3.71</v>
      </c>
      <c r="K230" s="6">
        <v>155.02</v>
      </c>
      <c r="L230" s="7">
        <v>103.29</v>
      </c>
      <c r="M230" s="9">
        <v>5.06</v>
      </c>
      <c r="N230" s="10">
        <v>116</v>
      </c>
      <c r="O230" s="11">
        <v>114.48</v>
      </c>
      <c r="P230" s="5">
        <v>10</v>
      </c>
      <c r="Q230" s="6">
        <v>359</v>
      </c>
      <c r="R230" s="7">
        <v>248</v>
      </c>
      <c r="S230" s="9">
        <v>14</v>
      </c>
      <c r="T230" s="10">
        <v>286</v>
      </c>
      <c r="U230" s="11">
        <v>287</v>
      </c>
    </row>
    <row r="231" spans="1:41">
      <c r="A231"/>
      <c r="B231"/>
      <c r="C231" s="12" t="s">
        <v>38</v>
      </c>
      <c r="D231" s="5">
        <v>31</v>
      </c>
      <c r="E231" s="6">
        <v>556</v>
      </c>
      <c r="F231" s="7">
        <v>316</v>
      </c>
      <c r="G231" s="9">
        <v>22</v>
      </c>
      <c r="H231" s="10">
        <v>393</v>
      </c>
      <c r="I231" s="11">
        <v>247</v>
      </c>
      <c r="J231" s="5">
        <v>22.06</v>
      </c>
      <c r="K231" s="6">
        <v>471.44</v>
      </c>
      <c r="L231" s="7">
        <v>268.52</v>
      </c>
      <c r="M231" s="9">
        <v>13.12</v>
      </c>
      <c r="N231" s="10">
        <v>301.71</v>
      </c>
      <c r="O231" s="11">
        <v>178.64</v>
      </c>
      <c r="P231" s="5">
        <v>57</v>
      </c>
      <c r="Q231" s="6">
        <v>1093</v>
      </c>
      <c r="R231" s="7">
        <v>617</v>
      </c>
      <c r="S231" s="9">
        <v>35</v>
      </c>
      <c r="T231" s="10">
        <v>723</v>
      </c>
      <c r="U231" s="11">
        <v>422</v>
      </c>
    </row>
    <row r="232" spans="1:41">
      <c r="A232"/>
      <c r="B232"/>
      <c r="C232" s="12" t="s">
        <v>35</v>
      </c>
      <c r="D232" s="5">
        <v>2</v>
      </c>
      <c r="E232" s="6">
        <v>21</v>
      </c>
      <c r="F232" s="7">
        <v>15</v>
      </c>
      <c r="G232" s="9">
        <v>0</v>
      </c>
      <c r="H232" s="10">
        <v>24</v>
      </c>
      <c r="I232" s="11">
        <v>14</v>
      </c>
      <c r="J232" s="5">
        <v>0.75</v>
      </c>
      <c r="K232" s="6">
        <v>19.53</v>
      </c>
      <c r="L232" s="7">
        <v>15.29</v>
      </c>
      <c r="M232" s="9">
        <v>0</v>
      </c>
      <c r="N232" s="10">
        <v>15.54</v>
      </c>
      <c r="O232" s="11">
        <v>11.78</v>
      </c>
      <c r="P232" s="5">
        <v>2</v>
      </c>
      <c r="Q232" s="6">
        <v>46</v>
      </c>
      <c r="R232" s="7">
        <v>35</v>
      </c>
      <c r="S232" s="9">
        <v>0</v>
      </c>
      <c r="T232" s="10">
        <v>42</v>
      </c>
      <c r="U232" s="11">
        <v>29</v>
      </c>
    </row>
    <row r="233" spans="1:41">
      <c r="C233" s="13" t="s">
        <v>26</v>
      </c>
      <c r="D233" s="13" t="str">
        <f>SUM(D218:D232)</f>
        <v>0</v>
      </c>
      <c r="E233" s="13" t="str">
        <f>SUM(E218:E232)</f>
        <v>0</v>
      </c>
      <c r="F233" s="13" t="str">
        <f>SUM(F218:F232)</f>
        <v>0</v>
      </c>
      <c r="G233" s="13" t="str">
        <f>SUM(G218:G232)</f>
        <v>0</v>
      </c>
      <c r="H233" s="13" t="str">
        <f>SUM(H218:H232)</f>
        <v>0</v>
      </c>
      <c r="I233" s="13" t="str">
        <f>SUM(I218:I232)</f>
        <v>0</v>
      </c>
      <c r="J233" s="13" t="str">
        <f>SUM(J218:J232)</f>
        <v>0</v>
      </c>
      <c r="K233" s="13" t="str">
        <f>SUM(K218:K232)</f>
        <v>0</v>
      </c>
      <c r="L233" s="13" t="str">
        <f>SUM(L218:L232)</f>
        <v>0</v>
      </c>
      <c r="M233" s="13" t="str">
        <f>SUM(M218:M232)</f>
        <v>0</v>
      </c>
      <c r="N233" s="13" t="str">
        <f>SUM(N218:N232)</f>
        <v>0</v>
      </c>
      <c r="O233" s="13" t="str">
        <f>SUM(O218:O232)</f>
        <v>0</v>
      </c>
      <c r="P233" s="13" t="str">
        <f>SUM(P218:P232)</f>
        <v>0</v>
      </c>
      <c r="Q233" s="13" t="str">
        <f>SUM(Q218:Q232)</f>
        <v>0</v>
      </c>
      <c r="R233" s="13" t="str">
        <f>SUM(R218:R232)</f>
        <v>0</v>
      </c>
      <c r="S233" s="13" t="str">
        <f>SUM(S218:S232)</f>
        <v>0</v>
      </c>
      <c r="T233" s="13" t="str">
        <f>SUM(T218:T232)</f>
        <v>0</v>
      </c>
      <c r="U233" s="13" t="str">
        <f>SUM(U218:U232)</f>
        <v>0</v>
      </c>
    </row>
    <row r="234" spans="1:41">
      <c r="A234"/>
      <c r="B234" s="14" t="s">
        <v>96</v>
      </c>
      <c r="C234" s="12" t="s">
        <v>42</v>
      </c>
      <c r="D234" s="5">
        <v>0</v>
      </c>
      <c r="E234" s="6">
        <v>0</v>
      </c>
      <c r="F234" s="7">
        <v>0</v>
      </c>
      <c r="G234" s="9">
        <v>0</v>
      </c>
      <c r="H234" s="10">
        <v>0</v>
      </c>
      <c r="I234" s="11">
        <v>0</v>
      </c>
      <c r="J234" s="5">
        <v>0</v>
      </c>
      <c r="K234" s="6">
        <v>0</v>
      </c>
      <c r="L234" s="7">
        <v>0</v>
      </c>
      <c r="M234" s="9">
        <v>0</v>
      </c>
      <c r="N234" s="10">
        <v>0</v>
      </c>
      <c r="O234" s="11">
        <v>0</v>
      </c>
      <c r="P234" s="5">
        <v>0</v>
      </c>
      <c r="Q234" s="6">
        <v>0</v>
      </c>
      <c r="R234" s="7">
        <v>0</v>
      </c>
      <c r="S234" s="9">
        <v>0</v>
      </c>
      <c r="T234" s="10">
        <v>0</v>
      </c>
      <c r="U234" s="11">
        <v>0</v>
      </c>
    </row>
    <row r="235" spans="1:41">
      <c r="A235"/>
      <c r="B235"/>
      <c r="C235" s="12" t="s">
        <v>30</v>
      </c>
      <c r="D235" s="5">
        <v>22</v>
      </c>
      <c r="E235" s="6">
        <v>317</v>
      </c>
      <c r="F235" s="7">
        <v>256</v>
      </c>
      <c r="G235" s="9">
        <v>9</v>
      </c>
      <c r="H235" s="10">
        <v>212</v>
      </c>
      <c r="I235" s="11">
        <v>266</v>
      </c>
      <c r="J235" s="5">
        <v>16.19</v>
      </c>
      <c r="K235" s="6">
        <v>251.11</v>
      </c>
      <c r="L235" s="7">
        <v>208.95</v>
      </c>
      <c r="M235" s="9">
        <v>10.4</v>
      </c>
      <c r="N235" s="10">
        <v>158.64</v>
      </c>
      <c r="O235" s="11">
        <v>210.2</v>
      </c>
      <c r="P235" s="5">
        <v>34</v>
      </c>
      <c r="Q235" s="6">
        <v>546</v>
      </c>
      <c r="R235" s="7">
        <v>463</v>
      </c>
      <c r="S235" s="9">
        <v>22</v>
      </c>
      <c r="T235" s="10">
        <v>345</v>
      </c>
      <c r="U235" s="11">
        <v>465</v>
      </c>
    </row>
    <row r="236" spans="1:41">
      <c r="A236"/>
      <c r="B236"/>
      <c r="C236" s="12" t="s">
        <v>16</v>
      </c>
      <c r="D236" s="5">
        <v>62</v>
      </c>
      <c r="E236" s="6">
        <v>1724</v>
      </c>
      <c r="F236" s="7">
        <v>1282</v>
      </c>
      <c r="G236" s="9">
        <v>34</v>
      </c>
      <c r="H236" s="10">
        <v>996</v>
      </c>
      <c r="I236" s="11">
        <v>1050</v>
      </c>
      <c r="J236" s="5">
        <v>45.33</v>
      </c>
      <c r="K236" s="6">
        <v>1429.93</v>
      </c>
      <c r="L236" s="7">
        <v>1215.35</v>
      </c>
      <c r="M236" s="9">
        <v>28.31</v>
      </c>
      <c r="N236" s="10">
        <v>755.43</v>
      </c>
      <c r="O236" s="11">
        <v>853.14</v>
      </c>
      <c r="P236" s="5">
        <v>102</v>
      </c>
      <c r="Q236" s="6">
        <v>3177</v>
      </c>
      <c r="R236" s="7">
        <v>2640</v>
      </c>
      <c r="S236" s="9">
        <v>60</v>
      </c>
      <c r="T236" s="10">
        <v>1697</v>
      </c>
      <c r="U236" s="11">
        <v>1902</v>
      </c>
    </row>
    <row r="237" spans="1:41">
      <c r="A237"/>
      <c r="B237"/>
      <c r="C237" s="12" t="s">
        <v>18</v>
      </c>
      <c r="D237" s="5">
        <v>26</v>
      </c>
      <c r="E237" s="6">
        <v>610</v>
      </c>
      <c r="F237" s="7">
        <v>364</v>
      </c>
      <c r="G237" s="9">
        <v>12</v>
      </c>
      <c r="H237" s="10">
        <v>349</v>
      </c>
      <c r="I237" s="11">
        <v>382</v>
      </c>
      <c r="J237" s="5">
        <v>18.6</v>
      </c>
      <c r="K237" s="6">
        <v>487.6</v>
      </c>
      <c r="L237" s="7">
        <v>338.94</v>
      </c>
      <c r="M237" s="9">
        <v>10.25</v>
      </c>
      <c r="N237" s="10">
        <v>249.08</v>
      </c>
      <c r="O237" s="11">
        <v>326.06</v>
      </c>
      <c r="P237" s="5">
        <v>43</v>
      </c>
      <c r="Q237" s="6">
        <v>1089</v>
      </c>
      <c r="R237" s="7">
        <v>742</v>
      </c>
      <c r="S237" s="9">
        <v>21</v>
      </c>
      <c r="T237" s="10">
        <v>570</v>
      </c>
      <c r="U237" s="11">
        <v>719</v>
      </c>
    </row>
    <row r="238" spans="1:41">
      <c r="A238"/>
      <c r="B238"/>
      <c r="C238" s="12" t="s">
        <v>29</v>
      </c>
      <c r="D238" s="5">
        <v>12</v>
      </c>
      <c r="E238" s="6">
        <v>182</v>
      </c>
      <c r="F238" s="7">
        <v>123</v>
      </c>
      <c r="G238" s="9">
        <v>12</v>
      </c>
      <c r="H238" s="10">
        <v>142</v>
      </c>
      <c r="I238" s="11">
        <v>123</v>
      </c>
      <c r="J238" s="5">
        <v>9</v>
      </c>
      <c r="K238" s="6">
        <v>161.04</v>
      </c>
      <c r="L238" s="7">
        <v>144.85</v>
      </c>
      <c r="M238" s="9">
        <v>6</v>
      </c>
      <c r="N238" s="10">
        <v>115.59</v>
      </c>
      <c r="O238" s="11">
        <v>123.79</v>
      </c>
      <c r="P238" s="5">
        <v>20</v>
      </c>
      <c r="Q238" s="6">
        <v>347</v>
      </c>
      <c r="R238" s="7">
        <v>306</v>
      </c>
      <c r="S238" s="9">
        <v>15</v>
      </c>
      <c r="T238" s="10">
        <v>251</v>
      </c>
      <c r="U238" s="11">
        <v>269</v>
      </c>
    </row>
    <row r="239" spans="1:41">
      <c r="A239"/>
      <c r="B239"/>
      <c r="C239" s="12" t="s">
        <v>20</v>
      </c>
      <c r="D239" s="5">
        <v>109</v>
      </c>
      <c r="E239" s="6">
        <v>2403</v>
      </c>
      <c r="F239" s="7">
        <v>1615</v>
      </c>
      <c r="G239" s="9">
        <v>67</v>
      </c>
      <c r="H239" s="10">
        <v>1363</v>
      </c>
      <c r="I239" s="11">
        <v>1427</v>
      </c>
      <c r="J239" s="5">
        <v>90.17</v>
      </c>
      <c r="K239" s="6">
        <v>1964.44</v>
      </c>
      <c r="L239" s="7">
        <v>1516.63</v>
      </c>
      <c r="M239" s="9">
        <v>52.28</v>
      </c>
      <c r="N239" s="10">
        <v>1054.28</v>
      </c>
      <c r="O239" s="11">
        <v>1177.6</v>
      </c>
      <c r="P239" s="5">
        <v>195</v>
      </c>
      <c r="Q239" s="6">
        <v>4349</v>
      </c>
      <c r="R239" s="7">
        <v>3312</v>
      </c>
      <c r="S239" s="9">
        <v>120</v>
      </c>
      <c r="T239" s="10">
        <v>2337</v>
      </c>
      <c r="U239" s="11">
        <v>2591</v>
      </c>
    </row>
    <row r="240" spans="1:41">
      <c r="A240"/>
      <c r="B240"/>
      <c r="C240" s="12" t="s">
        <v>36</v>
      </c>
      <c r="D240" s="5">
        <v>21</v>
      </c>
      <c r="E240" s="6">
        <v>598</v>
      </c>
      <c r="F240" s="7">
        <v>351</v>
      </c>
      <c r="G240" s="9">
        <v>9</v>
      </c>
      <c r="H240" s="10">
        <v>379</v>
      </c>
      <c r="I240" s="11">
        <v>337</v>
      </c>
      <c r="J240" s="5">
        <v>15.25</v>
      </c>
      <c r="K240" s="6">
        <v>430.13</v>
      </c>
      <c r="L240" s="7">
        <v>315.99</v>
      </c>
      <c r="M240" s="9">
        <v>7.25</v>
      </c>
      <c r="N240" s="10">
        <v>242.11</v>
      </c>
      <c r="O240" s="11">
        <v>250.77</v>
      </c>
      <c r="P240" s="5">
        <v>34</v>
      </c>
      <c r="Q240" s="6">
        <v>980</v>
      </c>
      <c r="R240" s="7">
        <v>689</v>
      </c>
      <c r="S240" s="9">
        <v>16</v>
      </c>
      <c r="T240" s="10">
        <v>559</v>
      </c>
      <c r="U240" s="11">
        <v>563</v>
      </c>
    </row>
    <row r="241" spans="1:41">
      <c r="A241"/>
      <c r="B241"/>
      <c r="C241" s="12" t="s">
        <v>37</v>
      </c>
      <c r="D241" s="5">
        <v>0</v>
      </c>
      <c r="E241" s="6">
        <v>0</v>
      </c>
      <c r="F241" s="7">
        <v>0</v>
      </c>
      <c r="G241" s="9">
        <v>0</v>
      </c>
      <c r="H241" s="10">
        <v>0</v>
      </c>
      <c r="I241" s="11">
        <v>0</v>
      </c>
      <c r="J241" s="5">
        <v>0</v>
      </c>
      <c r="K241" s="6">
        <v>0</v>
      </c>
      <c r="L241" s="7">
        <v>0</v>
      </c>
      <c r="M241" s="9">
        <v>0</v>
      </c>
      <c r="N241" s="10">
        <v>0</v>
      </c>
      <c r="O241" s="11">
        <v>0</v>
      </c>
      <c r="P241" s="5">
        <v>0</v>
      </c>
      <c r="Q241" s="6">
        <v>0</v>
      </c>
      <c r="R241" s="7">
        <v>0</v>
      </c>
      <c r="S241" s="9">
        <v>0</v>
      </c>
      <c r="T241" s="10">
        <v>0</v>
      </c>
      <c r="U241" s="11">
        <v>0</v>
      </c>
    </row>
    <row r="242" spans="1:41">
      <c r="A242"/>
      <c r="B242"/>
      <c r="C242" s="12" t="s">
        <v>22</v>
      </c>
      <c r="D242" s="5">
        <v>7</v>
      </c>
      <c r="E242" s="6">
        <v>259</v>
      </c>
      <c r="F242" s="7">
        <v>186</v>
      </c>
      <c r="G242" s="9">
        <v>3</v>
      </c>
      <c r="H242" s="10">
        <v>135</v>
      </c>
      <c r="I242" s="11">
        <v>194</v>
      </c>
      <c r="J242" s="5">
        <v>4.08</v>
      </c>
      <c r="K242" s="6">
        <v>182.71</v>
      </c>
      <c r="L242" s="7">
        <v>164.16</v>
      </c>
      <c r="M242" s="9">
        <v>2.25</v>
      </c>
      <c r="N242" s="10">
        <v>94.17</v>
      </c>
      <c r="O242" s="11">
        <v>153.46</v>
      </c>
      <c r="P242" s="5">
        <v>9</v>
      </c>
      <c r="Q242" s="6">
        <v>422</v>
      </c>
      <c r="R242" s="7">
        <v>360</v>
      </c>
      <c r="S242" s="9">
        <v>5</v>
      </c>
      <c r="T242" s="10">
        <v>218</v>
      </c>
      <c r="U242" s="11">
        <v>342</v>
      </c>
    </row>
    <row r="243" spans="1:41">
      <c r="A243"/>
      <c r="B243"/>
      <c r="C243" s="12" t="s">
        <v>23</v>
      </c>
      <c r="D243" s="5">
        <v>17</v>
      </c>
      <c r="E243" s="6">
        <v>423</v>
      </c>
      <c r="F243" s="7">
        <v>273</v>
      </c>
      <c r="G243" s="9">
        <v>5</v>
      </c>
      <c r="H243" s="10">
        <v>183</v>
      </c>
      <c r="I243" s="11">
        <v>150</v>
      </c>
      <c r="J243" s="5">
        <v>16.25</v>
      </c>
      <c r="K243" s="6">
        <v>373.82</v>
      </c>
      <c r="L243" s="7">
        <v>267.68</v>
      </c>
      <c r="M243" s="9">
        <v>3.6</v>
      </c>
      <c r="N243" s="10">
        <v>146.28</v>
      </c>
      <c r="O243" s="11">
        <v>132.23</v>
      </c>
      <c r="P243" s="5">
        <v>35</v>
      </c>
      <c r="Q243" s="6">
        <v>834</v>
      </c>
      <c r="R243" s="7">
        <v>588</v>
      </c>
      <c r="S243" s="9">
        <v>9</v>
      </c>
      <c r="T243" s="10">
        <v>334</v>
      </c>
      <c r="U243" s="11">
        <v>301</v>
      </c>
    </row>
    <row r="244" spans="1:41">
      <c r="A244"/>
      <c r="B244"/>
      <c r="C244" s="12" t="s">
        <v>34</v>
      </c>
      <c r="D244" s="5">
        <v>27</v>
      </c>
      <c r="E244" s="6">
        <v>579</v>
      </c>
      <c r="F244" s="7">
        <v>416</v>
      </c>
      <c r="G244" s="9">
        <v>17</v>
      </c>
      <c r="H244" s="10">
        <v>329</v>
      </c>
      <c r="I244" s="11">
        <v>331</v>
      </c>
      <c r="J244" s="5">
        <v>18.96</v>
      </c>
      <c r="K244" s="6">
        <v>469.22</v>
      </c>
      <c r="L244" s="7">
        <v>353.48</v>
      </c>
      <c r="M244" s="9">
        <v>12.75</v>
      </c>
      <c r="N244" s="10">
        <v>236.35</v>
      </c>
      <c r="O244" s="11">
        <v>274.53</v>
      </c>
      <c r="P244" s="5">
        <v>42</v>
      </c>
      <c r="Q244" s="6">
        <v>1037</v>
      </c>
      <c r="R244" s="7">
        <v>786</v>
      </c>
      <c r="S244" s="9">
        <v>29</v>
      </c>
      <c r="T244" s="10">
        <v>533</v>
      </c>
      <c r="U244" s="11">
        <v>616</v>
      </c>
    </row>
    <row r="245" spans="1:41">
      <c r="A245"/>
      <c r="B245"/>
      <c r="C245" s="12" t="s">
        <v>39</v>
      </c>
      <c r="D245" s="5">
        <v>3</v>
      </c>
      <c r="E245" s="6">
        <v>52</v>
      </c>
      <c r="F245" s="7">
        <v>25</v>
      </c>
      <c r="G245" s="9">
        <v>4</v>
      </c>
      <c r="H245" s="10">
        <v>28</v>
      </c>
      <c r="I245" s="11">
        <v>28</v>
      </c>
      <c r="J245" s="5">
        <v>4.2</v>
      </c>
      <c r="K245" s="6">
        <v>48.23</v>
      </c>
      <c r="L245" s="7">
        <v>26.17</v>
      </c>
      <c r="M245" s="9">
        <v>2</v>
      </c>
      <c r="N245" s="10">
        <v>16.52</v>
      </c>
      <c r="O245" s="11">
        <v>18.31</v>
      </c>
      <c r="P245" s="5">
        <v>9</v>
      </c>
      <c r="Q245" s="6">
        <v>106</v>
      </c>
      <c r="R245" s="7">
        <v>58</v>
      </c>
      <c r="S245" s="9">
        <v>4</v>
      </c>
      <c r="T245" s="10">
        <v>40</v>
      </c>
      <c r="U245" s="11">
        <v>41</v>
      </c>
    </row>
    <row r="246" spans="1:41">
      <c r="A246"/>
      <c r="B246"/>
      <c r="C246" s="12" t="s">
        <v>38</v>
      </c>
      <c r="D246" s="5">
        <v>7</v>
      </c>
      <c r="E246" s="6">
        <v>254</v>
      </c>
      <c r="F246" s="7">
        <v>120</v>
      </c>
      <c r="G246" s="9">
        <v>3</v>
      </c>
      <c r="H246" s="10">
        <v>164</v>
      </c>
      <c r="I246" s="11">
        <v>161</v>
      </c>
      <c r="J246" s="5">
        <v>5.75</v>
      </c>
      <c r="K246" s="6">
        <v>194.84</v>
      </c>
      <c r="L246" s="7">
        <v>106.12</v>
      </c>
      <c r="M246" s="9">
        <v>1.33</v>
      </c>
      <c r="N246" s="10">
        <v>111.07</v>
      </c>
      <c r="O246" s="11">
        <v>121.93</v>
      </c>
      <c r="P246" s="5">
        <v>13</v>
      </c>
      <c r="Q246" s="6">
        <v>429</v>
      </c>
      <c r="R246" s="7">
        <v>228</v>
      </c>
      <c r="S246" s="9">
        <v>4</v>
      </c>
      <c r="T246" s="10">
        <v>251</v>
      </c>
      <c r="U246" s="11">
        <v>266</v>
      </c>
    </row>
    <row r="247" spans="1:41">
      <c r="C247" s="13" t="s">
        <v>26</v>
      </c>
      <c r="D247" s="13" t="str">
        <f>SUM(D234:D246)</f>
        <v>0</v>
      </c>
      <c r="E247" s="13" t="str">
        <f>SUM(E234:E246)</f>
        <v>0</v>
      </c>
      <c r="F247" s="13" t="str">
        <f>SUM(F234:F246)</f>
        <v>0</v>
      </c>
      <c r="G247" s="13" t="str">
        <f>SUM(G234:G246)</f>
        <v>0</v>
      </c>
      <c r="H247" s="13" t="str">
        <f>SUM(H234:H246)</f>
        <v>0</v>
      </c>
      <c r="I247" s="13" t="str">
        <f>SUM(I234:I246)</f>
        <v>0</v>
      </c>
      <c r="J247" s="13" t="str">
        <f>SUM(J234:J246)</f>
        <v>0</v>
      </c>
      <c r="K247" s="13" t="str">
        <f>SUM(K234:K246)</f>
        <v>0</v>
      </c>
      <c r="L247" s="13" t="str">
        <f>SUM(L234:L246)</f>
        <v>0</v>
      </c>
      <c r="M247" s="13" t="str">
        <f>SUM(M234:M246)</f>
        <v>0</v>
      </c>
      <c r="N247" s="13" t="str">
        <f>SUM(N234:N246)</f>
        <v>0</v>
      </c>
      <c r="O247" s="13" t="str">
        <f>SUM(O234:O246)</f>
        <v>0</v>
      </c>
      <c r="P247" s="13" t="str">
        <f>SUM(P234:P246)</f>
        <v>0</v>
      </c>
      <c r="Q247" s="13" t="str">
        <f>SUM(Q234:Q246)</f>
        <v>0</v>
      </c>
      <c r="R247" s="13" t="str">
        <f>SUM(R234:R246)</f>
        <v>0</v>
      </c>
      <c r="S247" s="13" t="str">
        <f>SUM(S234:S246)</f>
        <v>0</v>
      </c>
      <c r="T247" s="13" t="str">
        <f>SUM(T234:T246)</f>
        <v>0</v>
      </c>
      <c r="U247" s="13" t="str">
        <f>SUM(U234:U246)</f>
        <v>0</v>
      </c>
    </row>
    <row r="248" spans="1:41">
      <c r="A248"/>
      <c r="B248" s="14" t="s">
        <v>97</v>
      </c>
      <c r="C248" s="12" t="s">
        <v>42</v>
      </c>
      <c r="D248" s="5">
        <v>1</v>
      </c>
      <c r="E248" s="6">
        <v>23</v>
      </c>
      <c r="F248" s="7">
        <v>15</v>
      </c>
      <c r="G248" s="9">
        <v>0</v>
      </c>
      <c r="H248" s="10">
        <v>13</v>
      </c>
      <c r="I248" s="11">
        <v>14</v>
      </c>
      <c r="J248" s="5">
        <v>1.5</v>
      </c>
      <c r="K248" s="6">
        <v>19.35</v>
      </c>
      <c r="L248" s="7">
        <v>19.85</v>
      </c>
      <c r="M248" s="9">
        <v>0</v>
      </c>
      <c r="N248" s="10">
        <v>10.2</v>
      </c>
      <c r="O248" s="11">
        <v>15.18</v>
      </c>
      <c r="P248" s="5">
        <v>3</v>
      </c>
      <c r="Q248" s="6">
        <v>40</v>
      </c>
      <c r="R248" s="7">
        <v>41</v>
      </c>
      <c r="S248" s="9">
        <v>0</v>
      </c>
      <c r="T248" s="10">
        <v>22</v>
      </c>
      <c r="U248" s="11">
        <v>32</v>
      </c>
    </row>
    <row r="249" spans="1:41">
      <c r="A249"/>
      <c r="B249"/>
      <c r="C249" s="12" t="s">
        <v>30</v>
      </c>
      <c r="D249" s="5">
        <v>15</v>
      </c>
      <c r="E249" s="6">
        <v>878</v>
      </c>
      <c r="F249" s="7">
        <v>576</v>
      </c>
      <c r="G249" s="9">
        <v>12</v>
      </c>
      <c r="H249" s="10">
        <v>558</v>
      </c>
      <c r="I249" s="11">
        <v>514</v>
      </c>
      <c r="J249" s="5">
        <v>16.7</v>
      </c>
      <c r="K249" s="6">
        <v>822.32</v>
      </c>
      <c r="L249" s="7">
        <v>597.79</v>
      </c>
      <c r="M249" s="9">
        <v>12.05</v>
      </c>
      <c r="N249" s="10">
        <v>492.87</v>
      </c>
      <c r="O249" s="11">
        <v>501.03</v>
      </c>
      <c r="P249" s="5">
        <v>34</v>
      </c>
      <c r="Q249" s="6">
        <v>1801</v>
      </c>
      <c r="R249" s="7">
        <v>1287</v>
      </c>
      <c r="S249" s="9">
        <v>25</v>
      </c>
      <c r="T249" s="10">
        <v>1079</v>
      </c>
      <c r="U249" s="11">
        <v>1088</v>
      </c>
    </row>
    <row r="250" spans="1:41">
      <c r="A250"/>
      <c r="B250"/>
      <c r="C250" s="12" t="s">
        <v>16</v>
      </c>
      <c r="D250" s="5">
        <v>60</v>
      </c>
      <c r="E250" s="6">
        <v>2340</v>
      </c>
      <c r="F250" s="7">
        <v>1787</v>
      </c>
      <c r="G250" s="9">
        <v>33</v>
      </c>
      <c r="H250" s="10">
        <v>1441</v>
      </c>
      <c r="I250" s="11">
        <v>1539</v>
      </c>
      <c r="J250" s="5">
        <v>42.94</v>
      </c>
      <c r="K250" s="6">
        <v>2046.75</v>
      </c>
      <c r="L250" s="7">
        <v>1623.16</v>
      </c>
      <c r="M250" s="9">
        <v>33.46</v>
      </c>
      <c r="N250" s="10">
        <v>1193.49</v>
      </c>
      <c r="O250" s="11">
        <v>1277.94</v>
      </c>
      <c r="P250" s="5">
        <v>99</v>
      </c>
      <c r="Q250" s="6">
        <v>4547</v>
      </c>
      <c r="R250" s="7">
        <v>3609</v>
      </c>
      <c r="S250" s="9">
        <v>72</v>
      </c>
      <c r="T250" s="10">
        <v>2691</v>
      </c>
      <c r="U250" s="11">
        <v>2851</v>
      </c>
    </row>
    <row r="251" spans="1:41">
      <c r="A251"/>
      <c r="B251"/>
      <c r="C251" s="12" t="s">
        <v>17</v>
      </c>
      <c r="D251" s="5">
        <v>6</v>
      </c>
      <c r="E251" s="6">
        <v>237</v>
      </c>
      <c r="F251" s="7">
        <v>175</v>
      </c>
      <c r="G251" s="9">
        <v>5</v>
      </c>
      <c r="H251" s="10">
        <v>147</v>
      </c>
      <c r="I251" s="11">
        <v>173</v>
      </c>
      <c r="J251" s="5">
        <v>6.93</v>
      </c>
      <c r="K251" s="6">
        <v>196.98</v>
      </c>
      <c r="L251" s="7">
        <v>157.23</v>
      </c>
      <c r="M251" s="9">
        <v>4.5</v>
      </c>
      <c r="N251" s="10">
        <v>125.29</v>
      </c>
      <c r="O251" s="11">
        <v>158.34</v>
      </c>
      <c r="P251" s="5">
        <v>15</v>
      </c>
      <c r="Q251" s="6">
        <v>458</v>
      </c>
      <c r="R251" s="7">
        <v>360</v>
      </c>
      <c r="S251" s="9">
        <v>10</v>
      </c>
      <c r="T251" s="10">
        <v>283</v>
      </c>
      <c r="U251" s="11">
        <v>353</v>
      </c>
    </row>
    <row r="252" spans="1:41">
      <c r="A252"/>
      <c r="B252"/>
      <c r="C252" s="12" t="s">
        <v>18</v>
      </c>
      <c r="D252" s="5">
        <v>53</v>
      </c>
      <c r="E252" s="6">
        <v>1936</v>
      </c>
      <c r="F252" s="7">
        <v>1492</v>
      </c>
      <c r="G252" s="9">
        <v>27</v>
      </c>
      <c r="H252" s="10">
        <v>1017</v>
      </c>
      <c r="I252" s="11">
        <v>1012</v>
      </c>
      <c r="J252" s="5">
        <v>42.81</v>
      </c>
      <c r="K252" s="6">
        <v>1772.45</v>
      </c>
      <c r="L252" s="7">
        <v>1439.66</v>
      </c>
      <c r="M252" s="9">
        <v>25.74</v>
      </c>
      <c r="N252" s="10">
        <v>873.17</v>
      </c>
      <c r="O252" s="11">
        <v>946.7</v>
      </c>
      <c r="P252" s="5">
        <v>97</v>
      </c>
      <c r="Q252" s="6">
        <v>3956</v>
      </c>
      <c r="R252" s="7">
        <v>3211</v>
      </c>
      <c r="S252" s="9">
        <v>55</v>
      </c>
      <c r="T252" s="10">
        <v>1969</v>
      </c>
      <c r="U252" s="11">
        <v>2099</v>
      </c>
    </row>
    <row r="253" spans="1:41">
      <c r="A253"/>
      <c r="B253"/>
      <c r="C253" s="12" t="s">
        <v>29</v>
      </c>
      <c r="D253" s="5">
        <v>0</v>
      </c>
      <c r="E253" s="6">
        <v>37</v>
      </c>
      <c r="F253" s="7">
        <v>23</v>
      </c>
      <c r="G253" s="9">
        <v>0</v>
      </c>
      <c r="H253" s="10">
        <v>14</v>
      </c>
      <c r="I253" s="11">
        <v>27</v>
      </c>
      <c r="J253" s="5">
        <v>0</v>
      </c>
      <c r="K253" s="6">
        <v>24.2</v>
      </c>
      <c r="L253" s="7">
        <v>17.7</v>
      </c>
      <c r="M253" s="9">
        <v>0</v>
      </c>
      <c r="N253" s="10">
        <v>8.25</v>
      </c>
      <c r="O253" s="11">
        <v>17.35</v>
      </c>
      <c r="P253" s="5">
        <v>0</v>
      </c>
      <c r="Q253" s="6">
        <v>55</v>
      </c>
      <c r="R253" s="7">
        <v>39</v>
      </c>
      <c r="S253" s="9">
        <v>0</v>
      </c>
      <c r="T253" s="10">
        <v>19</v>
      </c>
      <c r="U253" s="11">
        <v>39</v>
      </c>
    </row>
    <row r="254" spans="1:41">
      <c r="A254"/>
      <c r="B254"/>
      <c r="C254" s="12" t="s">
        <v>20</v>
      </c>
      <c r="D254" s="5">
        <v>78</v>
      </c>
      <c r="E254" s="6">
        <v>3112</v>
      </c>
      <c r="F254" s="7">
        <v>2003</v>
      </c>
      <c r="G254" s="9">
        <v>43</v>
      </c>
      <c r="H254" s="10">
        <v>1856</v>
      </c>
      <c r="I254" s="11">
        <v>1625</v>
      </c>
      <c r="J254" s="5">
        <v>67.06</v>
      </c>
      <c r="K254" s="6">
        <v>2840.28</v>
      </c>
      <c r="L254" s="7">
        <v>2045.67</v>
      </c>
      <c r="M254" s="9">
        <v>39.32</v>
      </c>
      <c r="N254" s="10">
        <v>1683.35</v>
      </c>
      <c r="O254" s="11">
        <v>1507.28</v>
      </c>
      <c r="P254" s="5">
        <v>152</v>
      </c>
      <c r="Q254" s="6">
        <v>6291</v>
      </c>
      <c r="R254" s="7">
        <v>4462</v>
      </c>
      <c r="S254" s="9">
        <v>87</v>
      </c>
      <c r="T254" s="10">
        <v>3713</v>
      </c>
      <c r="U254" s="11">
        <v>3323</v>
      </c>
    </row>
    <row r="255" spans="1:41">
      <c r="A255"/>
      <c r="B255"/>
      <c r="C255" s="12" t="s">
        <v>36</v>
      </c>
      <c r="D255" s="5">
        <v>34</v>
      </c>
      <c r="E255" s="6">
        <v>931</v>
      </c>
      <c r="F255" s="7">
        <v>628</v>
      </c>
      <c r="G255" s="9">
        <v>6</v>
      </c>
      <c r="H255" s="10">
        <v>510</v>
      </c>
      <c r="I255" s="11">
        <v>490</v>
      </c>
      <c r="J255" s="5">
        <v>26.16</v>
      </c>
      <c r="K255" s="6">
        <v>709.74</v>
      </c>
      <c r="L255" s="7">
        <v>568.54</v>
      </c>
      <c r="M255" s="9">
        <v>4.5</v>
      </c>
      <c r="N255" s="10">
        <v>377.29</v>
      </c>
      <c r="O255" s="11">
        <v>385.06</v>
      </c>
      <c r="P255" s="5">
        <v>62</v>
      </c>
      <c r="Q255" s="6">
        <v>1635</v>
      </c>
      <c r="R255" s="7">
        <v>1274</v>
      </c>
      <c r="S255" s="9">
        <v>10</v>
      </c>
      <c r="T255" s="10">
        <v>876</v>
      </c>
      <c r="U255" s="11">
        <v>871</v>
      </c>
    </row>
    <row r="256" spans="1:41">
      <c r="A256"/>
      <c r="B256"/>
      <c r="C256" s="12" t="s">
        <v>37</v>
      </c>
      <c r="D256" s="5">
        <v>6</v>
      </c>
      <c r="E256" s="6">
        <v>144</v>
      </c>
      <c r="F256" s="7">
        <v>123</v>
      </c>
      <c r="G256" s="9">
        <v>3</v>
      </c>
      <c r="H256" s="10">
        <v>123</v>
      </c>
      <c r="I256" s="11">
        <v>128</v>
      </c>
      <c r="J256" s="5">
        <v>10.5</v>
      </c>
      <c r="K256" s="6">
        <v>156.32</v>
      </c>
      <c r="L256" s="7">
        <v>150.16</v>
      </c>
      <c r="M256" s="9">
        <v>7.23</v>
      </c>
      <c r="N256" s="10">
        <v>135.46</v>
      </c>
      <c r="O256" s="11">
        <v>141.36</v>
      </c>
      <c r="P256" s="5">
        <v>21</v>
      </c>
      <c r="Q256" s="6">
        <v>342</v>
      </c>
      <c r="R256" s="7">
        <v>321</v>
      </c>
      <c r="S256" s="9">
        <v>15</v>
      </c>
      <c r="T256" s="10">
        <v>291</v>
      </c>
      <c r="U256" s="11">
        <v>305</v>
      </c>
    </row>
    <row r="257" spans="1:41">
      <c r="A257"/>
      <c r="B257"/>
      <c r="C257" s="12" t="s">
        <v>22</v>
      </c>
      <c r="D257" s="5">
        <v>18</v>
      </c>
      <c r="E257" s="6">
        <v>533</v>
      </c>
      <c r="F257" s="7">
        <v>369</v>
      </c>
      <c r="G257" s="9">
        <v>5</v>
      </c>
      <c r="H257" s="10">
        <v>366</v>
      </c>
      <c r="I257" s="11">
        <v>341</v>
      </c>
      <c r="J257" s="5">
        <v>14.85</v>
      </c>
      <c r="K257" s="6">
        <v>464.76</v>
      </c>
      <c r="L257" s="7">
        <v>362.48</v>
      </c>
      <c r="M257" s="9">
        <v>3.5</v>
      </c>
      <c r="N257" s="10">
        <v>324.96</v>
      </c>
      <c r="O257" s="11">
        <v>322.3</v>
      </c>
      <c r="P257" s="5">
        <v>32</v>
      </c>
      <c r="Q257" s="6">
        <v>1031</v>
      </c>
      <c r="R257" s="7">
        <v>800</v>
      </c>
      <c r="S257" s="9">
        <v>8</v>
      </c>
      <c r="T257" s="10">
        <v>721</v>
      </c>
      <c r="U257" s="11">
        <v>713</v>
      </c>
    </row>
    <row r="258" spans="1:41">
      <c r="A258"/>
      <c r="B258"/>
      <c r="C258" s="12" t="s">
        <v>23</v>
      </c>
      <c r="D258" s="5">
        <v>13</v>
      </c>
      <c r="E258" s="6">
        <v>814</v>
      </c>
      <c r="F258" s="7">
        <v>567</v>
      </c>
      <c r="G258" s="9">
        <v>19</v>
      </c>
      <c r="H258" s="10">
        <v>530</v>
      </c>
      <c r="I258" s="11">
        <v>503</v>
      </c>
      <c r="J258" s="5">
        <v>10</v>
      </c>
      <c r="K258" s="6">
        <v>815.25</v>
      </c>
      <c r="L258" s="7">
        <v>584.14</v>
      </c>
      <c r="M258" s="9">
        <v>16.8</v>
      </c>
      <c r="N258" s="10">
        <v>512.37</v>
      </c>
      <c r="O258" s="11">
        <v>495.84</v>
      </c>
      <c r="P258" s="5">
        <v>23</v>
      </c>
      <c r="Q258" s="6">
        <v>1773</v>
      </c>
      <c r="R258" s="7">
        <v>1285</v>
      </c>
      <c r="S258" s="9">
        <v>36</v>
      </c>
      <c r="T258" s="10">
        <v>1121</v>
      </c>
      <c r="U258" s="11">
        <v>1083</v>
      </c>
    </row>
    <row r="259" spans="1:41">
      <c r="A259"/>
      <c r="B259"/>
      <c r="C259" s="12" t="s">
        <v>34</v>
      </c>
      <c r="D259" s="5">
        <v>9</v>
      </c>
      <c r="E259" s="6">
        <v>342</v>
      </c>
      <c r="F259" s="7">
        <v>243</v>
      </c>
      <c r="G259" s="9">
        <v>2</v>
      </c>
      <c r="H259" s="10">
        <v>186</v>
      </c>
      <c r="I259" s="11">
        <v>154</v>
      </c>
      <c r="J259" s="5">
        <v>5.7</v>
      </c>
      <c r="K259" s="6">
        <v>296.05</v>
      </c>
      <c r="L259" s="7">
        <v>228.8</v>
      </c>
      <c r="M259" s="9">
        <v>1.15</v>
      </c>
      <c r="N259" s="10">
        <v>137.3</v>
      </c>
      <c r="O259" s="11">
        <v>130.81</v>
      </c>
      <c r="P259" s="5">
        <v>15</v>
      </c>
      <c r="Q259" s="6">
        <v>657</v>
      </c>
      <c r="R259" s="7">
        <v>504</v>
      </c>
      <c r="S259" s="9">
        <v>3</v>
      </c>
      <c r="T259" s="10">
        <v>316</v>
      </c>
      <c r="U259" s="11">
        <v>293</v>
      </c>
    </row>
    <row r="260" spans="1:41">
      <c r="A260"/>
      <c r="B260"/>
      <c r="C260" s="12" t="s">
        <v>39</v>
      </c>
      <c r="D260" s="5">
        <v>5</v>
      </c>
      <c r="E260" s="6">
        <v>138</v>
      </c>
      <c r="F260" s="7">
        <v>88</v>
      </c>
      <c r="G260" s="9">
        <v>1</v>
      </c>
      <c r="H260" s="10">
        <v>82</v>
      </c>
      <c r="I260" s="11">
        <v>73</v>
      </c>
      <c r="J260" s="5">
        <v>6.94</v>
      </c>
      <c r="K260" s="6">
        <v>115.19</v>
      </c>
      <c r="L260" s="7">
        <v>85.28</v>
      </c>
      <c r="M260" s="9">
        <v>0.35</v>
      </c>
      <c r="N260" s="10">
        <v>67.92</v>
      </c>
      <c r="O260" s="11">
        <v>56.44</v>
      </c>
      <c r="P260" s="5">
        <v>15</v>
      </c>
      <c r="Q260" s="6">
        <v>260</v>
      </c>
      <c r="R260" s="7">
        <v>184</v>
      </c>
      <c r="S260" s="9">
        <v>1</v>
      </c>
      <c r="T260" s="10">
        <v>148</v>
      </c>
      <c r="U260" s="11">
        <v>128</v>
      </c>
    </row>
    <row r="261" spans="1:41">
      <c r="A261"/>
      <c r="B261"/>
      <c r="C261" s="12" t="s">
        <v>38</v>
      </c>
      <c r="D261" s="5">
        <v>2</v>
      </c>
      <c r="E261" s="6">
        <v>196</v>
      </c>
      <c r="F261" s="7">
        <v>117</v>
      </c>
      <c r="G261" s="9">
        <v>1</v>
      </c>
      <c r="H261" s="10">
        <v>114</v>
      </c>
      <c r="I261" s="11">
        <v>101</v>
      </c>
      <c r="J261" s="5">
        <v>1.5</v>
      </c>
      <c r="K261" s="6">
        <v>167.5</v>
      </c>
      <c r="L261" s="7">
        <v>97.6</v>
      </c>
      <c r="M261" s="9">
        <v>2.5</v>
      </c>
      <c r="N261" s="10">
        <v>99.39</v>
      </c>
      <c r="O261" s="11">
        <v>84.35</v>
      </c>
      <c r="P261" s="5">
        <v>3</v>
      </c>
      <c r="Q261" s="6">
        <v>370</v>
      </c>
      <c r="R261" s="7">
        <v>214</v>
      </c>
      <c r="S261" s="9">
        <v>5</v>
      </c>
      <c r="T261" s="10">
        <v>220</v>
      </c>
      <c r="U261" s="11">
        <v>189</v>
      </c>
    </row>
    <row r="262" spans="1:41">
      <c r="C262" s="13" t="s">
        <v>26</v>
      </c>
      <c r="D262" s="13" t="str">
        <f>SUM(D248:D261)</f>
        <v>0</v>
      </c>
      <c r="E262" s="13" t="str">
        <f>SUM(E248:E261)</f>
        <v>0</v>
      </c>
      <c r="F262" s="13" t="str">
        <f>SUM(F248:F261)</f>
        <v>0</v>
      </c>
      <c r="G262" s="13" t="str">
        <f>SUM(G248:G261)</f>
        <v>0</v>
      </c>
      <c r="H262" s="13" t="str">
        <f>SUM(H248:H261)</f>
        <v>0</v>
      </c>
      <c r="I262" s="13" t="str">
        <f>SUM(I248:I261)</f>
        <v>0</v>
      </c>
      <c r="J262" s="13" t="str">
        <f>SUM(J248:J261)</f>
        <v>0</v>
      </c>
      <c r="K262" s="13" t="str">
        <f>SUM(K248:K261)</f>
        <v>0</v>
      </c>
      <c r="L262" s="13" t="str">
        <f>SUM(L248:L261)</f>
        <v>0</v>
      </c>
      <c r="M262" s="13" t="str">
        <f>SUM(M248:M261)</f>
        <v>0</v>
      </c>
      <c r="N262" s="13" t="str">
        <f>SUM(N248:N261)</f>
        <v>0</v>
      </c>
      <c r="O262" s="13" t="str">
        <f>SUM(O248:O261)</f>
        <v>0</v>
      </c>
      <c r="P262" s="13" t="str">
        <f>SUM(P248:P261)</f>
        <v>0</v>
      </c>
      <c r="Q262" s="13" t="str">
        <f>SUM(Q248:Q261)</f>
        <v>0</v>
      </c>
      <c r="R262" s="13" t="str">
        <f>SUM(R248:R261)</f>
        <v>0</v>
      </c>
      <c r="S262" s="13" t="str">
        <f>SUM(S248:S261)</f>
        <v>0</v>
      </c>
      <c r="T262" s="13" t="str">
        <f>SUM(T248:T261)</f>
        <v>0</v>
      </c>
      <c r="U262" s="13" t="str">
        <f>SUM(U248:U261)</f>
        <v>0</v>
      </c>
    </row>
    <row r="263" spans="1:41">
      <c r="A263"/>
      <c r="B263" s="14" t="s">
        <v>98</v>
      </c>
      <c r="C263" s="12" t="s">
        <v>30</v>
      </c>
      <c r="D263" s="5">
        <v>7</v>
      </c>
      <c r="E263" s="6">
        <v>133</v>
      </c>
      <c r="F263" s="7">
        <v>75</v>
      </c>
      <c r="G263" s="9">
        <v>4</v>
      </c>
      <c r="H263" s="10">
        <v>130</v>
      </c>
      <c r="I263" s="11">
        <v>103</v>
      </c>
      <c r="J263" s="5">
        <v>5.9</v>
      </c>
      <c r="K263" s="6">
        <v>142.62</v>
      </c>
      <c r="L263" s="7">
        <v>81.99</v>
      </c>
      <c r="M263" s="9">
        <v>3.1</v>
      </c>
      <c r="N263" s="10">
        <v>105.79</v>
      </c>
      <c r="O263" s="11">
        <v>96.23</v>
      </c>
      <c r="P263" s="5">
        <v>14</v>
      </c>
      <c r="Q263" s="6">
        <v>324</v>
      </c>
      <c r="R263" s="7">
        <v>184</v>
      </c>
      <c r="S263" s="9">
        <v>7</v>
      </c>
      <c r="T263" s="10">
        <v>252</v>
      </c>
      <c r="U263" s="11">
        <v>219</v>
      </c>
    </row>
    <row r="264" spans="1:41">
      <c r="A264"/>
      <c r="B264"/>
      <c r="C264" s="12" t="s">
        <v>16</v>
      </c>
      <c r="D264" s="5">
        <v>3</v>
      </c>
      <c r="E264" s="6">
        <v>78</v>
      </c>
      <c r="F264" s="7">
        <v>46</v>
      </c>
      <c r="G264" s="9">
        <v>5</v>
      </c>
      <c r="H264" s="10">
        <v>95</v>
      </c>
      <c r="I264" s="11">
        <v>77</v>
      </c>
      <c r="J264" s="5">
        <v>3.63</v>
      </c>
      <c r="K264" s="6">
        <v>73.76</v>
      </c>
      <c r="L264" s="7">
        <v>53.16</v>
      </c>
      <c r="M264" s="9">
        <v>4.43</v>
      </c>
      <c r="N264" s="10">
        <v>92.87</v>
      </c>
      <c r="O264" s="11">
        <v>75.77</v>
      </c>
      <c r="P264" s="5">
        <v>8</v>
      </c>
      <c r="Q264" s="6">
        <v>169</v>
      </c>
      <c r="R264" s="7">
        <v>118</v>
      </c>
      <c r="S264" s="9">
        <v>10</v>
      </c>
      <c r="T264" s="10">
        <v>210</v>
      </c>
      <c r="U264" s="11">
        <v>173</v>
      </c>
    </row>
    <row r="265" spans="1:41">
      <c r="A265"/>
      <c r="B265"/>
      <c r="C265" s="12" t="s">
        <v>18</v>
      </c>
      <c r="D265" s="5">
        <v>20</v>
      </c>
      <c r="E265" s="6">
        <v>407</v>
      </c>
      <c r="F265" s="7">
        <v>345</v>
      </c>
      <c r="G265" s="9">
        <v>9</v>
      </c>
      <c r="H265" s="10">
        <v>459</v>
      </c>
      <c r="I265" s="11">
        <v>444</v>
      </c>
      <c r="J265" s="5">
        <v>20.43</v>
      </c>
      <c r="K265" s="6">
        <v>385.55</v>
      </c>
      <c r="L265" s="7">
        <v>350.15</v>
      </c>
      <c r="M265" s="9">
        <v>8.73</v>
      </c>
      <c r="N265" s="10">
        <v>403.57</v>
      </c>
      <c r="O265" s="11">
        <v>390.81</v>
      </c>
      <c r="P265" s="5">
        <v>46</v>
      </c>
      <c r="Q265" s="6">
        <v>852</v>
      </c>
      <c r="R265" s="7">
        <v>771</v>
      </c>
      <c r="S265" s="9">
        <v>20</v>
      </c>
      <c r="T265" s="10">
        <v>898</v>
      </c>
      <c r="U265" s="11">
        <v>873</v>
      </c>
    </row>
    <row r="266" spans="1:41">
      <c r="A266"/>
      <c r="B266"/>
      <c r="C266" s="12" t="s">
        <v>20</v>
      </c>
      <c r="D266" s="5">
        <v>0</v>
      </c>
      <c r="E266" s="6">
        <v>167</v>
      </c>
      <c r="F266" s="7">
        <v>113</v>
      </c>
      <c r="G266" s="9">
        <v>5</v>
      </c>
      <c r="H266" s="10">
        <v>165</v>
      </c>
      <c r="I266" s="11">
        <v>135</v>
      </c>
      <c r="J266" s="5">
        <v>0</v>
      </c>
      <c r="K266" s="6">
        <v>157.72</v>
      </c>
      <c r="L266" s="7">
        <v>113.29</v>
      </c>
      <c r="M266" s="9">
        <v>1.46</v>
      </c>
      <c r="N266" s="10">
        <v>134.71</v>
      </c>
      <c r="O266" s="11">
        <v>101.79</v>
      </c>
      <c r="P266" s="5">
        <v>0</v>
      </c>
      <c r="Q266" s="6">
        <v>354</v>
      </c>
      <c r="R266" s="7">
        <v>258</v>
      </c>
      <c r="S266" s="9">
        <v>5</v>
      </c>
      <c r="T266" s="10">
        <v>319</v>
      </c>
      <c r="U266" s="11">
        <v>246</v>
      </c>
    </row>
    <row r="267" spans="1:41">
      <c r="A267"/>
      <c r="B267"/>
      <c r="C267" s="12" t="s">
        <v>37</v>
      </c>
      <c r="D267" s="5">
        <v>1</v>
      </c>
      <c r="E267" s="6">
        <v>83</v>
      </c>
      <c r="F267" s="7">
        <v>57</v>
      </c>
      <c r="G267" s="9">
        <v>0</v>
      </c>
      <c r="H267" s="10">
        <v>84</v>
      </c>
      <c r="I267" s="11">
        <v>75</v>
      </c>
      <c r="J267" s="5">
        <v>0.66</v>
      </c>
      <c r="K267" s="6">
        <v>74.87</v>
      </c>
      <c r="L267" s="7">
        <v>56.49</v>
      </c>
      <c r="M267" s="9">
        <v>0</v>
      </c>
      <c r="N267" s="10">
        <v>70</v>
      </c>
      <c r="O267" s="11">
        <v>71.78</v>
      </c>
      <c r="P267" s="5">
        <v>2</v>
      </c>
      <c r="Q267" s="6">
        <v>172</v>
      </c>
      <c r="R267" s="7">
        <v>130</v>
      </c>
      <c r="S267" s="9">
        <v>0</v>
      </c>
      <c r="T267" s="10">
        <v>168</v>
      </c>
      <c r="U267" s="11">
        <v>163</v>
      </c>
    </row>
    <row r="268" spans="1:41">
      <c r="A268"/>
      <c r="B268"/>
      <c r="C268" s="12" t="s">
        <v>39</v>
      </c>
      <c r="D268" s="5">
        <v>3</v>
      </c>
      <c r="E268" s="6">
        <v>41</v>
      </c>
      <c r="F268" s="7">
        <v>31</v>
      </c>
      <c r="G268" s="9">
        <v>2</v>
      </c>
      <c r="H268" s="10">
        <v>41</v>
      </c>
      <c r="I268" s="11">
        <v>34</v>
      </c>
      <c r="J268" s="5">
        <v>3.66</v>
      </c>
      <c r="K268" s="6">
        <v>43.14</v>
      </c>
      <c r="L268" s="7">
        <v>35.11</v>
      </c>
      <c r="M268" s="9">
        <v>0.75</v>
      </c>
      <c r="N268" s="10">
        <v>33.57</v>
      </c>
      <c r="O268" s="11">
        <v>33.64</v>
      </c>
      <c r="P268" s="5">
        <v>8</v>
      </c>
      <c r="Q268" s="6">
        <v>95</v>
      </c>
      <c r="R268" s="7">
        <v>76</v>
      </c>
      <c r="S268" s="9">
        <v>2</v>
      </c>
      <c r="T268" s="10">
        <v>73</v>
      </c>
      <c r="U268" s="11">
        <v>75</v>
      </c>
    </row>
    <row r="269" spans="1:41">
      <c r="C269" s="13" t="s">
        <v>26</v>
      </c>
      <c r="D269" s="13" t="str">
        <f>SUM(D263:D268)</f>
        <v>0</v>
      </c>
      <c r="E269" s="13" t="str">
        <f>SUM(E263:E268)</f>
        <v>0</v>
      </c>
      <c r="F269" s="13" t="str">
        <f>SUM(F263:F268)</f>
        <v>0</v>
      </c>
      <c r="G269" s="13" t="str">
        <f>SUM(G263:G268)</f>
        <v>0</v>
      </c>
      <c r="H269" s="13" t="str">
        <f>SUM(H263:H268)</f>
        <v>0</v>
      </c>
      <c r="I269" s="13" t="str">
        <f>SUM(I263:I268)</f>
        <v>0</v>
      </c>
      <c r="J269" s="13" t="str">
        <f>SUM(J263:J268)</f>
        <v>0</v>
      </c>
      <c r="K269" s="13" t="str">
        <f>SUM(K263:K268)</f>
        <v>0</v>
      </c>
      <c r="L269" s="13" t="str">
        <f>SUM(L263:L268)</f>
        <v>0</v>
      </c>
      <c r="M269" s="13" t="str">
        <f>SUM(M263:M268)</f>
        <v>0</v>
      </c>
      <c r="N269" s="13" t="str">
        <f>SUM(N263:N268)</f>
        <v>0</v>
      </c>
      <c r="O269" s="13" t="str">
        <f>SUM(O263:O268)</f>
        <v>0</v>
      </c>
      <c r="P269" s="13" t="str">
        <f>SUM(P263:P268)</f>
        <v>0</v>
      </c>
      <c r="Q269" s="13" t="str">
        <f>SUM(Q263:Q268)</f>
        <v>0</v>
      </c>
      <c r="R269" s="13" t="str">
        <f>SUM(R263:R268)</f>
        <v>0</v>
      </c>
      <c r="S269" s="13" t="str">
        <f>SUM(S263:S268)</f>
        <v>0</v>
      </c>
      <c r="T269" s="13" t="str">
        <f>SUM(T263:T268)</f>
        <v>0</v>
      </c>
      <c r="U269" s="13" t="str">
        <f>SUM(U263:U268)</f>
        <v>0</v>
      </c>
    </row>
    <row r="270" spans="1:41">
      <c r="A270" s="9" t="s">
        <v>99</v>
      </c>
      <c r="B270" s="11" t="s">
        <v>100</v>
      </c>
      <c r="C270" s="12" t="s">
        <v>16</v>
      </c>
      <c r="D270" s="5">
        <v>18</v>
      </c>
      <c r="E270" s="6">
        <v>574</v>
      </c>
      <c r="F270" s="7">
        <v>437</v>
      </c>
      <c r="G270" s="9">
        <v>21</v>
      </c>
      <c r="H270" s="10">
        <v>638</v>
      </c>
      <c r="I270" s="11">
        <v>435</v>
      </c>
      <c r="J270" s="5">
        <v>9.39</v>
      </c>
      <c r="K270" s="6">
        <v>319.18</v>
      </c>
      <c r="L270" s="7">
        <v>273.48</v>
      </c>
      <c r="M270" s="9">
        <v>7.9</v>
      </c>
      <c r="N270" s="10">
        <v>319.02</v>
      </c>
      <c r="O270" s="11">
        <v>233.55</v>
      </c>
      <c r="P270" s="5">
        <v>24</v>
      </c>
      <c r="Q270" s="6">
        <v>810</v>
      </c>
      <c r="R270" s="7">
        <v>675</v>
      </c>
      <c r="S270" s="9">
        <v>24</v>
      </c>
      <c r="T270" s="10">
        <v>853</v>
      </c>
      <c r="U270" s="11">
        <v>614</v>
      </c>
    </row>
    <row r="271" spans="1:41">
      <c r="A271"/>
      <c r="B271"/>
      <c r="C271" s="12" t="s">
        <v>18</v>
      </c>
      <c r="D271" s="5">
        <v>14</v>
      </c>
      <c r="E271" s="6">
        <v>140</v>
      </c>
      <c r="F271" s="7">
        <v>100</v>
      </c>
      <c r="G271" s="9">
        <v>9</v>
      </c>
      <c r="H271" s="10">
        <v>120</v>
      </c>
      <c r="I271" s="11">
        <v>72</v>
      </c>
      <c r="J271" s="5">
        <v>6.55</v>
      </c>
      <c r="K271" s="6">
        <v>96.14</v>
      </c>
      <c r="L271" s="7">
        <v>65.7</v>
      </c>
      <c r="M271" s="9">
        <v>3.9</v>
      </c>
      <c r="N271" s="10">
        <v>63.61</v>
      </c>
      <c r="O271" s="11">
        <v>44.86</v>
      </c>
      <c r="P271" s="5">
        <v>17</v>
      </c>
      <c r="Q271" s="6">
        <v>228</v>
      </c>
      <c r="R271" s="7">
        <v>154</v>
      </c>
      <c r="S271" s="9">
        <v>11</v>
      </c>
      <c r="T271" s="10">
        <v>162</v>
      </c>
      <c r="U271" s="11">
        <v>110</v>
      </c>
    </row>
    <row r="272" spans="1:41">
      <c r="A272"/>
      <c r="B272"/>
      <c r="C272" s="12" t="s">
        <v>20</v>
      </c>
      <c r="D272" s="5">
        <v>62</v>
      </c>
      <c r="E272" s="6">
        <v>2237</v>
      </c>
      <c r="F272" s="7">
        <v>1517</v>
      </c>
      <c r="G272" s="9">
        <v>58</v>
      </c>
      <c r="H272" s="10">
        <v>2281</v>
      </c>
      <c r="I272" s="11">
        <v>1406</v>
      </c>
      <c r="J272" s="5">
        <v>31.47</v>
      </c>
      <c r="K272" s="6">
        <v>1309.92</v>
      </c>
      <c r="L272" s="7">
        <v>976.29</v>
      </c>
      <c r="M272" s="9">
        <v>21.53</v>
      </c>
      <c r="N272" s="10">
        <v>1205.47</v>
      </c>
      <c r="O272" s="11">
        <v>748.11</v>
      </c>
      <c r="P272" s="5">
        <v>84</v>
      </c>
      <c r="Q272" s="6">
        <v>3318</v>
      </c>
      <c r="R272" s="7">
        <v>2425</v>
      </c>
      <c r="S272" s="9">
        <v>66</v>
      </c>
      <c r="T272" s="10">
        <v>3233</v>
      </c>
      <c r="U272" s="11">
        <v>1969</v>
      </c>
    </row>
    <row r="273" spans="1:41">
      <c r="A273"/>
      <c r="B273"/>
      <c r="C273" s="12" t="s">
        <v>37</v>
      </c>
      <c r="D273" s="5">
        <v>40</v>
      </c>
      <c r="E273" s="6">
        <v>1904</v>
      </c>
      <c r="F273" s="7">
        <v>1422</v>
      </c>
      <c r="G273" s="9">
        <v>58</v>
      </c>
      <c r="H273" s="10">
        <v>1956</v>
      </c>
      <c r="I273" s="11">
        <v>1321</v>
      </c>
      <c r="J273" s="5">
        <v>15.07</v>
      </c>
      <c r="K273" s="6">
        <v>998.77</v>
      </c>
      <c r="L273" s="7">
        <v>805.57</v>
      </c>
      <c r="M273" s="9">
        <v>21.38</v>
      </c>
      <c r="N273" s="10">
        <v>901.2</v>
      </c>
      <c r="O273" s="11">
        <v>623.35</v>
      </c>
      <c r="P273" s="5">
        <v>46</v>
      </c>
      <c r="Q273" s="6">
        <v>2672</v>
      </c>
      <c r="R273" s="7">
        <v>2069</v>
      </c>
      <c r="S273" s="9">
        <v>70</v>
      </c>
      <c r="T273" s="10">
        <v>2561</v>
      </c>
      <c r="U273" s="11">
        <v>1738</v>
      </c>
    </row>
    <row r="274" spans="1:41">
      <c r="A274"/>
      <c r="B274"/>
      <c r="C274" s="12" t="s">
        <v>35</v>
      </c>
      <c r="D274" s="5">
        <v>9</v>
      </c>
      <c r="E274" s="6">
        <v>197</v>
      </c>
      <c r="F274" s="7">
        <v>109</v>
      </c>
      <c r="G274" s="9">
        <v>4</v>
      </c>
      <c r="H274" s="10">
        <v>176</v>
      </c>
      <c r="I274" s="11">
        <v>113</v>
      </c>
      <c r="J274" s="5">
        <v>6.07</v>
      </c>
      <c r="K274" s="6">
        <v>109.44</v>
      </c>
      <c r="L274" s="7">
        <v>72.01</v>
      </c>
      <c r="M274" s="9">
        <v>1.85</v>
      </c>
      <c r="N274" s="10">
        <v>81.22</v>
      </c>
      <c r="O274" s="11">
        <v>57.26</v>
      </c>
      <c r="P274" s="5">
        <v>14</v>
      </c>
      <c r="Q274" s="6">
        <v>277</v>
      </c>
      <c r="R274" s="7">
        <v>171</v>
      </c>
      <c r="S274" s="9">
        <v>5</v>
      </c>
      <c r="T274" s="10">
        <v>228</v>
      </c>
      <c r="U274" s="11">
        <v>147</v>
      </c>
    </row>
    <row r="275" spans="1:41">
      <c r="C275" s="13" t="s">
        <v>26</v>
      </c>
      <c r="D275" s="13" t="str">
        <f>SUM(D270:D274)</f>
        <v>0</v>
      </c>
      <c r="E275" s="13" t="str">
        <f>SUM(E270:E274)</f>
        <v>0</v>
      </c>
      <c r="F275" s="13" t="str">
        <f>SUM(F270:F274)</f>
        <v>0</v>
      </c>
      <c r="G275" s="13" t="str">
        <f>SUM(G270:G274)</f>
        <v>0</v>
      </c>
      <c r="H275" s="13" t="str">
        <f>SUM(H270:H274)</f>
        <v>0</v>
      </c>
      <c r="I275" s="13" t="str">
        <f>SUM(I270:I274)</f>
        <v>0</v>
      </c>
      <c r="J275" s="13" t="str">
        <f>SUM(J270:J274)</f>
        <v>0</v>
      </c>
      <c r="K275" s="13" t="str">
        <f>SUM(K270:K274)</f>
        <v>0</v>
      </c>
      <c r="L275" s="13" t="str">
        <f>SUM(L270:L274)</f>
        <v>0</v>
      </c>
      <c r="M275" s="13" t="str">
        <f>SUM(M270:M274)</f>
        <v>0</v>
      </c>
      <c r="N275" s="13" t="str">
        <f>SUM(N270:N274)</f>
        <v>0</v>
      </c>
      <c r="O275" s="13" t="str">
        <f>SUM(O270:O274)</f>
        <v>0</v>
      </c>
      <c r="P275" s="13" t="str">
        <f>SUM(P270:P274)</f>
        <v>0</v>
      </c>
      <c r="Q275" s="13" t="str">
        <f>SUM(Q270:Q274)</f>
        <v>0</v>
      </c>
      <c r="R275" s="13" t="str">
        <f>SUM(R270:R274)</f>
        <v>0</v>
      </c>
      <c r="S275" s="13" t="str">
        <f>SUM(S270:S274)</f>
        <v>0</v>
      </c>
      <c r="T275" s="13" t="str">
        <f>SUM(T270:T274)</f>
        <v>0</v>
      </c>
      <c r="U275" s="13" t="str">
        <f>SUM(U270:U274)</f>
        <v>0</v>
      </c>
    </row>
    <row r="276" spans="1:41">
      <c r="A276"/>
      <c r="B276" s="14" t="s">
        <v>101</v>
      </c>
      <c r="C276" s="12" t="s">
        <v>16</v>
      </c>
      <c r="D276" s="5">
        <v>2</v>
      </c>
      <c r="E276" s="6">
        <v>62</v>
      </c>
      <c r="F276" s="7">
        <v>59</v>
      </c>
      <c r="G276" s="9">
        <v>3</v>
      </c>
      <c r="H276" s="10">
        <v>54</v>
      </c>
      <c r="I276" s="11">
        <v>35</v>
      </c>
      <c r="J276" s="5">
        <v>0.88</v>
      </c>
      <c r="K276" s="6">
        <v>48.09</v>
      </c>
      <c r="L276" s="7">
        <v>45.22</v>
      </c>
      <c r="M276" s="9">
        <v>1.5</v>
      </c>
      <c r="N276" s="10">
        <v>36.75</v>
      </c>
      <c r="O276" s="11">
        <v>25.82</v>
      </c>
      <c r="P276" s="5">
        <v>2</v>
      </c>
      <c r="Q276" s="6">
        <v>112</v>
      </c>
      <c r="R276" s="7">
        <v>104</v>
      </c>
      <c r="S276" s="9">
        <v>3</v>
      </c>
      <c r="T276" s="10">
        <v>89</v>
      </c>
      <c r="U276" s="11">
        <v>57</v>
      </c>
    </row>
    <row r="277" spans="1:41">
      <c r="A277"/>
      <c r="B277"/>
      <c r="C277" s="12" t="s">
        <v>20</v>
      </c>
      <c r="D277" s="5">
        <v>1</v>
      </c>
      <c r="E277" s="6">
        <v>32</v>
      </c>
      <c r="F277" s="7">
        <v>33</v>
      </c>
      <c r="G277" s="9">
        <v>0</v>
      </c>
      <c r="H277" s="10">
        <v>27</v>
      </c>
      <c r="I277" s="11">
        <v>26</v>
      </c>
      <c r="J277" s="5">
        <v>2.5</v>
      </c>
      <c r="K277" s="6">
        <v>20.18</v>
      </c>
      <c r="L277" s="7">
        <v>15.96</v>
      </c>
      <c r="M277" s="9">
        <v>0</v>
      </c>
      <c r="N277" s="10">
        <v>15.03</v>
      </c>
      <c r="O277" s="11">
        <v>11.67</v>
      </c>
      <c r="P277" s="5">
        <v>5</v>
      </c>
      <c r="Q277" s="6">
        <v>49</v>
      </c>
      <c r="R277" s="7">
        <v>44</v>
      </c>
      <c r="S277" s="9">
        <v>0</v>
      </c>
      <c r="T277" s="10">
        <v>40</v>
      </c>
      <c r="U277" s="11">
        <v>32</v>
      </c>
    </row>
    <row r="278" spans="1:41">
      <c r="A278"/>
      <c r="B278"/>
      <c r="C278" s="12" t="s">
        <v>37</v>
      </c>
      <c r="D278" s="5">
        <v>3</v>
      </c>
      <c r="E278" s="6">
        <v>33</v>
      </c>
      <c r="F278" s="7">
        <v>43</v>
      </c>
      <c r="G278" s="9">
        <v>4</v>
      </c>
      <c r="H278" s="10">
        <v>30</v>
      </c>
      <c r="I278" s="11">
        <v>17</v>
      </c>
      <c r="J278" s="5">
        <v>1.75</v>
      </c>
      <c r="K278" s="6">
        <v>29.07</v>
      </c>
      <c r="L278" s="7">
        <v>35.32</v>
      </c>
      <c r="M278" s="9">
        <v>3.27</v>
      </c>
      <c r="N278" s="10">
        <v>22.76</v>
      </c>
      <c r="O278" s="11">
        <v>15.31</v>
      </c>
      <c r="P278" s="5">
        <v>4</v>
      </c>
      <c r="Q278" s="6">
        <v>64</v>
      </c>
      <c r="R278" s="7">
        <v>80</v>
      </c>
      <c r="S278" s="9">
        <v>8</v>
      </c>
      <c r="T278" s="10">
        <v>51</v>
      </c>
      <c r="U278" s="11">
        <v>34</v>
      </c>
    </row>
    <row r="279" spans="1:41">
      <c r="A279"/>
      <c r="B279"/>
      <c r="C279" s="12" t="s">
        <v>35</v>
      </c>
      <c r="D279" s="5">
        <v>2</v>
      </c>
      <c r="E279" s="6">
        <v>69</v>
      </c>
      <c r="F279" s="7">
        <v>59</v>
      </c>
      <c r="G279" s="9">
        <v>5</v>
      </c>
      <c r="H279" s="10">
        <v>61</v>
      </c>
      <c r="I279" s="11">
        <v>48</v>
      </c>
      <c r="J279" s="5">
        <v>2.4</v>
      </c>
      <c r="K279" s="6">
        <v>40.77</v>
      </c>
      <c r="L279" s="7">
        <v>33.93</v>
      </c>
      <c r="M279" s="9">
        <v>2.05</v>
      </c>
      <c r="N279" s="10">
        <v>35.34</v>
      </c>
      <c r="O279" s="11">
        <v>31.13</v>
      </c>
      <c r="P279" s="5">
        <v>5</v>
      </c>
      <c r="Q279" s="6">
        <v>94</v>
      </c>
      <c r="R279" s="7">
        <v>85</v>
      </c>
      <c r="S279" s="9">
        <v>5</v>
      </c>
      <c r="T279" s="10">
        <v>84</v>
      </c>
      <c r="U279" s="11">
        <v>73</v>
      </c>
    </row>
    <row r="280" spans="1:41">
      <c r="C280" s="13" t="s">
        <v>26</v>
      </c>
      <c r="D280" s="13" t="str">
        <f>SUM(D276:D279)</f>
        <v>0</v>
      </c>
      <c r="E280" s="13" t="str">
        <f>SUM(E276:E279)</f>
        <v>0</v>
      </c>
      <c r="F280" s="13" t="str">
        <f>SUM(F276:F279)</f>
        <v>0</v>
      </c>
      <c r="G280" s="13" t="str">
        <f>SUM(G276:G279)</f>
        <v>0</v>
      </c>
      <c r="H280" s="13" t="str">
        <f>SUM(H276:H279)</f>
        <v>0</v>
      </c>
      <c r="I280" s="13" t="str">
        <f>SUM(I276:I279)</f>
        <v>0</v>
      </c>
      <c r="J280" s="13" t="str">
        <f>SUM(J276:J279)</f>
        <v>0</v>
      </c>
      <c r="K280" s="13" t="str">
        <f>SUM(K276:K279)</f>
        <v>0</v>
      </c>
      <c r="L280" s="13" t="str">
        <f>SUM(L276:L279)</f>
        <v>0</v>
      </c>
      <c r="M280" s="13" t="str">
        <f>SUM(M276:M279)</f>
        <v>0</v>
      </c>
      <c r="N280" s="13" t="str">
        <f>SUM(N276:N279)</f>
        <v>0</v>
      </c>
      <c r="O280" s="13" t="str">
        <f>SUM(O276:O279)</f>
        <v>0</v>
      </c>
      <c r="P280" s="13" t="str">
        <f>SUM(P276:P279)</f>
        <v>0</v>
      </c>
      <c r="Q280" s="13" t="str">
        <f>SUM(Q276:Q279)</f>
        <v>0</v>
      </c>
      <c r="R280" s="13" t="str">
        <f>SUM(R276:R279)</f>
        <v>0</v>
      </c>
      <c r="S280" s="13" t="str">
        <f>SUM(S276:S279)</f>
        <v>0</v>
      </c>
      <c r="T280" s="13" t="str">
        <f>SUM(T276:T279)</f>
        <v>0</v>
      </c>
      <c r="U280" s="13" t="str">
        <f>SUM(U276:U279)</f>
        <v>0</v>
      </c>
    </row>
    <row r="281" spans="1:41">
      <c r="A281"/>
      <c r="B281" s="14" t="s">
        <v>102</v>
      </c>
      <c r="C281" s="12" t="s">
        <v>20</v>
      </c>
      <c r="D281" s="5">
        <v>0</v>
      </c>
      <c r="E281" s="6">
        <v>0</v>
      </c>
      <c r="F281" s="7">
        <v>0</v>
      </c>
      <c r="G281" s="9">
        <v>0</v>
      </c>
      <c r="H281" s="10">
        <v>0</v>
      </c>
      <c r="I281" s="11">
        <v>0</v>
      </c>
      <c r="J281" s="5">
        <v>0</v>
      </c>
      <c r="K281" s="6">
        <v>0</v>
      </c>
      <c r="L281" s="7">
        <v>0</v>
      </c>
      <c r="M281" s="9">
        <v>0</v>
      </c>
      <c r="N281" s="10">
        <v>0</v>
      </c>
      <c r="O281" s="11">
        <v>0</v>
      </c>
      <c r="P281" s="5">
        <v>0</v>
      </c>
      <c r="Q281" s="6">
        <v>0</v>
      </c>
      <c r="R281" s="7">
        <v>0</v>
      </c>
      <c r="S281" s="9">
        <v>0</v>
      </c>
      <c r="T281" s="10">
        <v>0</v>
      </c>
      <c r="U281" s="11">
        <v>0</v>
      </c>
    </row>
    <row r="282" spans="1:41">
      <c r="A282"/>
      <c r="B282"/>
      <c r="C282" s="12" t="s">
        <v>37</v>
      </c>
      <c r="D282" s="5">
        <v>0</v>
      </c>
      <c r="E282" s="6">
        <v>0</v>
      </c>
      <c r="F282" s="7">
        <v>0</v>
      </c>
      <c r="G282" s="9">
        <v>0</v>
      </c>
      <c r="H282" s="10">
        <v>0</v>
      </c>
      <c r="I282" s="11">
        <v>0</v>
      </c>
      <c r="J282" s="5">
        <v>0</v>
      </c>
      <c r="K282" s="6">
        <v>0</v>
      </c>
      <c r="L282" s="7">
        <v>0</v>
      </c>
      <c r="M282" s="9">
        <v>0</v>
      </c>
      <c r="N282" s="10">
        <v>0</v>
      </c>
      <c r="O282" s="11">
        <v>0</v>
      </c>
      <c r="P282" s="5">
        <v>0</v>
      </c>
      <c r="Q282" s="6">
        <v>0</v>
      </c>
      <c r="R282" s="7">
        <v>0</v>
      </c>
      <c r="S282" s="9">
        <v>0</v>
      </c>
      <c r="T282" s="10">
        <v>0</v>
      </c>
      <c r="U282" s="11">
        <v>0</v>
      </c>
    </row>
    <row r="283" spans="1:41">
      <c r="C283" s="13" t="s">
        <v>26</v>
      </c>
      <c r="D283" s="13" t="str">
        <f>SUM(D281:D282)</f>
        <v>0</v>
      </c>
      <c r="E283" s="13" t="str">
        <f>SUM(E281:E282)</f>
        <v>0</v>
      </c>
      <c r="F283" s="13" t="str">
        <f>SUM(F281:F282)</f>
        <v>0</v>
      </c>
      <c r="G283" s="13" t="str">
        <f>SUM(G281:G282)</f>
        <v>0</v>
      </c>
      <c r="H283" s="13" t="str">
        <f>SUM(H281:H282)</f>
        <v>0</v>
      </c>
      <c r="I283" s="13" t="str">
        <f>SUM(I281:I282)</f>
        <v>0</v>
      </c>
      <c r="J283" s="13" t="str">
        <f>SUM(J281:J282)</f>
        <v>0</v>
      </c>
      <c r="K283" s="13" t="str">
        <f>SUM(K281:K282)</f>
        <v>0</v>
      </c>
      <c r="L283" s="13" t="str">
        <f>SUM(L281:L282)</f>
        <v>0</v>
      </c>
      <c r="M283" s="13" t="str">
        <f>SUM(M281:M282)</f>
        <v>0</v>
      </c>
      <c r="N283" s="13" t="str">
        <f>SUM(N281:N282)</f>
        <v>0</v>
      </c>
      <c r="O283" s="13" t="str">
        <f>SUM(O281:O282)</f>
        <v>0</v>
      </c>
      <c r="P283" s="13" t="str">
        <f>SUM(P281:P282)</f>
        <v>0</v>
      </c>
      <c r="Q283" s="13" t="str">
        <f>SUM(Q281:Q282)</f>
        <v>0</v>
      </c>
      <c r="R283" s="13" t="str">
        <f>SUM(R281:R282)</f>
        <v>0</v>
      </c>
      <c r="S283" s="13" t="str">
        <f>SUM(S281:S282)</f>
        <v>0</v>
      </c>
      <c r="T283" s="13" t="str">
        <f>SUM(T281:T282)</f>
        <v>0</v>
      </c>
      <c r="U283" s="13" t="str">
        <f>SUM(U281:U282)</f>
        <v>0</v>
      </c>
    </row>
    <row r="284" spans="1:41">
      <c r="A284" s="9" t="s">
        <v>103</v>
      </c>
      <c r="B284" s="11" t="s">
        <v>104</v>
      </c>
      <c r="C284" s="12" t="s">
        <v>30</v>
      </c>
      <c r="D284" s="5">
        <v>33</v>
      </c>
      <c r="E284" s="6">
        <v>308</v>
      </c>
      <c r="F284" s="7">
        <v>169</v>
      </c>
      <c r="G284" s="9">
        <v>12</v>
      </c>
      <c r="H284" s="10">
        <v>126</v>
      </c>
      <c r="I284" s="11">
        <v>79</v>
      </c>
      <c r="J284" s="5">
        <v>43.04</v>
      </c>
      <c r="K284" s="6">
        <v>384.85</v>
      </c>
      <c r="L284" s="7">
        <v>241.44</v>
      </c>
      <c r="M284" s="9">
        <v>14</v>
      </c>
      <c r="N284" s="10">
        <v>155.2</v>
      </c>
      <c r="O284" s="11">
        <v>97.81</v>
      </c>
      <c r="P284" s="5">
        <v>87</v>
      </c>
      <c r="Q284" s="6">
        <v>794</v>
      </c>
      <c r="R284" s="7">
        <v>489</v>
      </c>
      <c r="S284" s="9">
        <v>28</v>
      </c>
      <c r="T284" s="10">
        <v>315</v>
      </c>
      <c r="U284" s="11">
        <v>201</v>
      </c>
    </row>
    <row r="285" spans="1:41">
      <c r="A285"/>
      <c r="B285"/>
      <c r="C285" s="12" t="s">
        <v>16</v>
      </c>
      <c r="D285" s="5">
        <v>8</v>
      </c>
      <c r="E285" s="6">
        <v>185</v>
      </c>
      <c r="F285" s="7">
        <v>95</v>
      </c>
      <c r="G285" s="9">
        <v>3</v>
      </c>
      <c r="H285" s="10">
        <v>53</v>
      </c>
      <c r="I285" s="11">
        <v>37</v>
      </c>
      <c r="J285" s="5">
        <v>8.49</v>
      </c>
      <c r="K285" s="6">
        <v>182.24</v>
      </c>
      <c r="L285" s="7">
        <v>93.08</v>
      </c>
      <c r="M285" s="9">
        <v>2.5</v>
      </c>
      <c r="N285" s="10">
        <v>50.24</v>
      </c>
      <c r="O285" s="11">
        <v>36.23</v>
      </c>
      <c r="P285" s="5">
        <v>17</v>
      </c>
      <c r="Q285" s="6">
        <v>381</v>
      </c>
      <c r="R285" s="7">
        <v>194</v>
      </c>
      <c r="S285" s="9">
        <v>5</v>
      </c>
      <c r="T285" s="10">
        <v>107</v>
      </c>
      <c r="U285" s="11">
        <v>75</v>
      </c>
    </row>
    <row r="286" spans="1:41">
      <c r="A286"/>
      <c r="B286"/>
      <c r="C286" s="12" t="s">
        <v>18</v>
      </c>
      <c r="D286" s="5">
        <v>5</v>
      </c>
      <c r="E286" s="6">
        <v>93</v>
      </c>
      <c r="F286" s="7">
        <v>39</v>
      </c>
      <c r="G286" s="9">
        <v>0</v>
      </c>
      <c r="H286" s="10">
        <v>15</v>
      </c>
      <c r="I286" s="11">
        <v>8</v>
      </c>
      <c r="J286" s="5">
        <v>2.76</v>
      </c>
      <c r="K286" s="6">
        <v>98.88</v>
      </c>
      <c r="L286" s="7">
        <v>38.67</v>
      </c>
      <c r="M286" s="9">
        <v>0</v>
      </c>
      <c r="N286" s="10">
        <v>12.2</v>
      </c>
      <c r="O286" s="11">
        <v>12.87</v>
      </c>
      <c r="P286" s="5">
        <v>7</v>
      </c>
      <c r="Q286" s="6">
        <v>224</v>
      </c>
      <c r="R286" s="7">
        <v>85</v>
      </c>
      <c r="S286" s="9">
        <v>0</v>
      </c>
      <c r="T286" s="10">
        <v>28</v>
      </c>
      <c r="U286" s="11">
        <v>27</v>
      </c>
    </row>
    <row r="287" spans="1:41">
      <c r="A287"/>
      <c r="B287"/>
      <c r="C287" s="12" t="s">
        <v>20</v>
      </c>
      <c r="D287" s="5">
        <v>9</v>
      </c>
      <c r="E287" s="6">
        <v>203</v>
      </c>
      <c r="F287" s="7">
        <v>128</v>
      </c>
      <c r="G287" s="9">
        <v>1</v>
      </c>
      <c r="H287" s="10">
        <v>64</v>
      </c>
      <c r="I287" s="11">
        <v>35</v>
      </c>
      <c r="J287" s="5">
        <v>12</v>
      </c>
      <c r="K287" s="6">
        <v>268.64</v>
      </c>
      <c r="L287" s="7">
        <v>152.75</v>
      </c>
      <c r="M287" s="9">
        <v>0.5</v>
      </c>
      <c r="N287" s="10">
        <v>73.62</v>
      </c>
      <c r="O287" s="11">
        <v>46.78</v>
      </c>
      <c r="P287" s="5">
        <v>24</v>
      </c>
      <c r="Q287" s="6">
        <v>552</v>
      </c>
      <c r="R287" s="7">
        <v>320</v>
      </c>
      <c r="S287" s="9">
        <v>1</v>
      </c>
      <c r="T287" s="10">
        <v>152</v>
      </c>
      <c r="U287" s="11">
        <v>98</v>
      </c>
    </row>
    <row r="288" spans="1:41">
      <c r="A288"/>
      <c r="B288"/>
      <c r="C288" s="12" t="s">
        <v>32</v>
      </c>
      <c r="D288" s="5">
        <v>3</v>
      </c>
      <c r="E288" s="6">
        <v>117</v>
      </c>
      <c r="F288" s="7">
        <v>56</v>
      </c>
      <c r="G288" s="9">
        <v>2</v>
      </c>
      <c r="H288" s="10">
        <v>64</v>
      </c>
      <c r="I288" s="11">
        <v>31</v>
      </c>
      <c r="J288" s="5">
        <v>1.5</v>
      </c>
      <c r="K288" s="6">
        <v>111.81</v>
      </c>
      <c r="L288" s="7">
        <v>47.95</v>
      </c>
      <c r="M288" s="9">
        <v>1.5</v>
      </c>
      <c r="N288" s="10">
        <v>66.86</v>
      </c>
      <c r="O288" s="11">
        <v>29.46</v>
      </c>
      <c r="P288" s="5">
        <v>4</v>
      </c>
      <c r="Q288" s="6">
        <v>234</v>
      </c>
      <c r="R288" s="7">
        <v>106</v>
      </c>
      <c r="S288" s="9">
        <v>3</v>
      </c>
      <c r="T288" s="10">
        <v>139</v>
      </c>
      <c r="U288" s="11">
        <v>61</v>
      </c>
    </row>
    <row r="289" spans="1:41">
      <c r="A289"/>
      <c r="B289"/>
      <c r="C289" s="12" t="s">
        <v>22</v>
      </c>
      <c r="D289" s="5">
        <v>2</v>
      </c>
      <c r="E289" s="6">
        <v>19</v>
      </c>
      <c r="F289" s="7">
        <v>12</v>
      </c>
      <c r="G289" s="9">
        <v>0</v>
      </c>
      <c r="H289" s="10">
        <v>7</v>
      </c>
      <c r="I289" s="11">
        <v>9</v>
      </c>
      <c r="J289" s="5">
        <v>1.4</v>
      </c>
      <c r="K289" s="6">
        <v>16.7</v>
      </c>
      <c r="L289" s="7">
        <v>11.5</v>
      </c>
      <c r="M289" s="9">
        <v>0</v>
      </c>
      <c r="N289" s="10">
        <v>6.5</v>
      </c>
      <c r="O289" s="11">
        <v>8</v>
      </c>
      <c r="P289" s="5">
        <v>3</v>
      </c>
      <c r="Q289" s="6">
        <v>34</v>
      </c>
      <c r="R289" s="7">
        <v>23</v>
      </c>
      <c r="S289" s="9">
        <v>0</v>
      </c>
      <c r="T289" s="10">
        <v>13</v>
      </c>
      <c r="U289" s="11">
        <v>16</v>
      </c>
    </row>
    <row r="290" spans="1:41">
      <c r="A290"/>
      <c r="B290"/>
      <c r="C290" s="12" t="s">
        <v>34</v>
      </c>
      <c r="D290" s="5">
        <v>5</v>
      </c>
      <c r="E290" s="6">
        <v>49</v>
      </c>
      <c r="F290" s="7">
        <v>38</v>
      </c>
      <c r="G290" s="9">
        <v>0</v>
      </c>
      <c r="H290" s="10">
        <v>13</v>
      </c>
      <c r="I290" s="11">
        <v>11</v>
      </c>
      <c r="J290" s="5">
        <v>2.35</v>
      </c>
      <c r="K290" s="6">
        <v>47.76</v>
      </c>
      <c r="L290" s="7">
        <v>47.64</v>
      </c>
      <c r="M290" s="9">
        <v>0</v>
      </c>
      <c r="N290" s="10">
        <v>10.68</v>
      </c>
      <c r="O290" s="11">
        <v>15.65</v>
      </c>
      <c r="P290" s="5">
        <v>6</v>
      </c>
      <c r="Q290" s="6">
        <v>103</v>
      </c>
      <c r="R290" s="7">
        <v>99</v>
      </c>
      <c r="S290" s="9">
        <v>0</v>
      </c>
      <c r="T290" s="10">
        <v>23</v>
      </c>
      <c r="U290" s="11">
        <v>34</v>
      </c>
    </row>
    <row r="291" spans="1:41">
      <c r="C291" s="13" t="s">
        <v>26</v>
      </c>
      <c r="D291" s="13" t="str">
        <f>SUM(D284:D290)</f>
        <v>0</v>
      </c>
      <c r="E291" s="13" t="str">
        <f>SUM(E284:E290)</f>
        <v>0</v>
      </c>
      <c r="F291" s="13" t="str">
        <f>SUM(F284:F290)</f>
        <v>0</v>
      </c>
      <c r="G291" s="13" t="str">
        <f>SUM(G284:G290)</f>
        <v>0</v>
      </c>
      <c r="H291" s="13" t="str">
        <f>SUM(H284:H290)</f>
        <v>0</v>
      </c>
      <c r="I291" s="13" t="str">
        <f>SUM(I284:I290)</f>
        <v>0</v>
      </c>
      <c r="J291" s="13" t="str">
        <f>SUM(J284:J290)</f>
        <v>0</v>
      </c>
      <c r="K291" s="13" t="str">
        <f>SUM(K284:K290)</f>
        <v>0</v>
      </c>
      <c r="L291" s="13" t="str">
        <f>SUM(L284:L290)</f>
        <v>0</v>
      </c>
      <c r="M291" s="13" t="str">
        <f>SUM(M284:M290)</f>
        <v>0</v>
      </c>
      <c r="N291" s="13" t="str">
        <f>SUM(N284:N290)</f>
        <v>0</v>
      </c>
      <c r="O291" s="13" t="str">
        <f>SUM(O284:O290)</f>
        <v>0</v>
      </c>
      <c r="P291" s="13" t="str">
        <f>SUM(P284:P290)</f>
        <v>0</v>
      </c>
      <c r="Q291" s="13" t="str">
        <f>SUM(Q284:Q290)</f>
        <v>0</v>
      </c>
      <c r="R291" s="13" t="str">
        <f>SUM(R284:R290)</f>
        <v>0</v>
      </c>
      <c r="S291" s="13" t="str">
        <f>SUM(S284:S290)</f>
        <v>0</v>
      </c>
      <c r="T291" s="13" t="str">
        <f>SUM(T284:T290)</f>
        <v>0</v>
      </c>
      <c r="U291" s="13" t="str">
        <f>SUM(U284:U290)</f>
        <v>0</v>
      </c>
    </row>
    <row r="292" spans="1:41">
      <c r="A292"/>
      <c r="B292" s="14" t="s">
        <v>105</v>
      </c>
      <c r="C292" s="12" t="s">
        <v>30</v>
      </c>
      <c r="D292" s="5">
        <v>3</v>
      </c>
      <c r="E292" s="6">
        <v>71</v>
      </c>
      <c r="F292" s="7">
        <v>30</v>
      </c>
      <c r="G292" s="9">
        <v>1</v>
      </c>
      <c r="H292" s="10">
        <v>54</v>
      </c>
      <c r="I292" s="11">
        <v>35</v>
      </c>
      <c r="J292" s="5">
        <v>2.5</v>
      </c>
      <c r="K292" s="6">
        <v>80.6</v>
      </c>
      <c r="L292" s="7">
        <v>33.6</v>
      </c>
      <c r="M292" s="9">
        <v>1.5</v>
      </c>
      <c r="N292" s="10">
        <v>58.3</v>
      </c>
      <c r="O292" s="11">
        <v>37.27</v>
      </c>
      <c r="P292" s="5">
        <v>5</v>
      </c>
      <c r="Q292" s="6">
        <v>175</v>
      </c>
      <c r="R292" s="7">
        <v>72</v>
      </c>
      <c r="S292" s="9">
        <v>3</v>
      </c>
      <c r="T292" s="10">
        <v>124</v>
      </c>
      <c r="U292" s="11">
        <v>80</v>
      </c>
    </row>
    <row r="293" spans="1:41">
      <c r="A293"/>
      <c r="B293"/>
      <c r="C293" s="12" t="s">
        <v>43</v>
      </c>
      <c r="D293" s="5">
        <v>3</v>
      </c>
      <c r="E293" s="6">
        <v>49</v>
      </c>
      <c r="F293" s="7">
        <v>28</v>
      </c>
      <c r="G293" s="9">
        <v>2</v>
      </c>
      <c r="H293" s="10">
        <v>48</v>
      </c>
      <c r="I293" s="11">
        <v>23</v>
      </c>
      <c r="J293" s="5">
        <v>2.8</v>
      </c>
      <c r="K293" s="6">
        <v>42.44</v>
      </c>
      <c r="L293" s="7">
        <v>29.28</v>
      </c>
      <c r="M293" s="9">
        <v>2.12</v>
      </c>
      <c r="N293" s="10">
        <v>50.66</v>
      </c>
      <c r="O293" s="11">
        <v>29.08</v>
      </c>
      <c r="P293" s="5">
        <v>6</v>
      </c>
      <c r="Q293" s="6">
        <v>100</v>
      </c>
      <c r="R293" s="7">
        <v>65</v>
      </c>
      <c r="S293" s="9">
        <v>5</v>
      </c>
      <c r="T293" s="10">
        <v>110</v>
      </c>
      <c r="U293" s="11">
        <v>62</v>
      </c>
    </row>
    <row r="294" spans="1:41">
      <c r="A294"/>
      <c r="B294"/>
      <c r="C294" s="12" t="s">
        <v>16</v>
      </c>
      <c r="D294" s="5">
        <v>7</v>
      </c>
      <c r="E294" s="6">
        <v>158</v>
      </c>
      <c r="F294" s="7">
        <v>91</v>
      </c>
      <c r="G294" s="9">
        <v>4</v>
      </c>
      <c r="H294" s="10">
        <v>190</v>
      </c>
      <c r="I294" s="11">
        <v>95</v>
      </c>
      <c r="J294" s="5">
        <v>11.5</v>
      </c>
      <c r="K294" s="6">
        <v>201.15</v>
      </c>
      <c r="L294" s="7">
        <v>125.6</v>
      </c>
      <c r="M294" s="9">
        <v>5.5</v>
      </c>
      <c r="N294" s="10">
        <v>220.94</v>
      </c>
      <c r="O294" s="11">
        <v>128.95</v>
      </c>
      <c r="P294" s="5">
        <v>23</v>
      </c>
      <c r="Q294" s="6">
        <v>419</v>
      </c>
      <c r="R294" s="7">
        <v>258</v>
      </c>
      <c r="S294" s="9">
        <v>12</v>
      </c>
      <c r="T294" s="10">
        <v>467</v>
      </c>
      <c r="U294" s="11">
        <v>268</v>
      </c>
    </row>
    <row r="295" spans="1:41">
      <c r="A295"/>
      <c r="B295"/>
      <c r="C295" s="12" t="s">
        <v>17</v>
      </c>
      <c r="D295" s="5">
        <v>1</v>
      </c>
      <c r="E295" s="6">
        <v>79</v>
      </c>
      <c r="F295" s="7">
        <v>56</v>
      </c>
      <c r="G295" s="9">
        <v>1</v>
      </c>
      <c r="H295" s="10">
        <v>58</v>
      </c>
      <c r="I295" s="11">
        <v>49</v>
      </c>
      <c r="J295" s="5">
        <v>2</v>
      </c>
      <c r="K295" s="6">
        <v>96.87</v>
      </c>
      <c r="L295" s="7">
        <v>53.06</v>
      </c>
      <c r="M295" s="9">
        <v>0.5</v>
      </c>
      <c r="N295" s="10">
        <v>67.15</v>
      </c>
      <c r="O295" s="11">
        <v>41.57</v>
      </c>
      <c r="P295" s="5">
        <v>4</v>
      </c>
      <c r="Q295" s="6">
        <v>207</v>
      </c>
      <c r="R295" s="7">
        <v>118</v>
      </c>
      <c r="S295" s="9">
        <v>1</v>
      </c>
      <c r="T295" s="10">
        <v>145</v>
      </c>
      <c r="U295" s="11">
        <v>92</v>
      </c>
    </row>
    <row r="296" spans="1:41">
      <c r="A296"/>
      <c r="B296"/>
      <c r="C296" s="12" t="s">
        <v>18</v>
      </c>
      <c r="D296" s="5">
        <v>14</v>
      </c>
      <c r="E296" s="6">
        <v>500</v>
      </c>
      <c r="F296" s="7">
        <v>301</v>
      </c>
      <c r="G296" s="9">
        <v>9</v>
      </c>
      <c r="H296" s="10">
        <v>350</v>
      </c>
      <c r="I296" s="11">
        <v>251</v>
      </c>
      <c r="J296" s="5">
        <v>11.33</v>
      </c>
      <c r="K296" s="6">
        <v>521.46</v>
      </c>
      <c r="L296" s="7">
        <v>285.87</v>
      </c>
      <c r="M296" s="9">
        <v>11.82</v>
      </c>
      <c r="N296" s="10">
        <v>311.12</v>
      </c>
      <c r="O296" s="11">
        <v>241.36</v>
      </c>
      <c r="P296" s="5">
        <v>27</v>
      </c>
      <c r="Q296" s="6">
        <v>1123</v>
      </c>
      <c r="R296" s="7">
        <v>621</v>
      </c>
      <c r="S296" s="9">
        <v>24</v>
      </c>
      <c r="T296" s="10">
        <v>686</v>
      </c>
      <c r="U296" s="11">
        <v>524</v>
      </c>
    </row>
    <row r="297" spans="1:41">
      <c r="A297"/>
      <c r="B297"/>
      <c r="C297" s="12" t="s">
        <v>20</v>
      </c>
      <c r="D297" s="5">
        <v>29</v>
      </c>
      <c r="E297" s="6">
        <v>795</v>
      </c>
      <c r="F297" s="7">
        <v>529</v>
      </c>
      <c r="G297" s="9">
        <v>17</v>
      </c>
      <c r="H297" s="10">
        <v>676</v>
      </c>
      <c r="I297" s="11">
        <v>507</v>
      </c>
      <c r="J297" s="5">
        <v>21.22</v>
      </c>
      <c r="K297" s="6">
        <v>715.96</v>
      </c>
      <c r="L297" s="7">
        <v>462.14</v>
      </c>
      <c r="M297" s="9">
        <v>16.43</v>
      </c>
      <c r="N297" s="10">
        <v>588.09</v>
      </c>
      <c r="O297" s="11">
        <v>427.92</v>
      </c>
      <c r="P297" s="5">
        <v>47</v>
      </c>
      <c r="Q297" s="6">
        <v>1570</v>
      </c>
      <c r="R297" s="7">
        <v>1035</v>
      </c>
      <c r="S297" s="9">
        <v>35</v>
      </c>
      <c r="T297" s="10">
        <v>1305</v>
      </c>
      <c r="U297" s="11">
        <v>960</v>
      </c>
    </row>
    <row r="298" spans="1:41">
      <c r="A298"/>
      <c r="B298"/>
      <c r="C298" s="12" t="s">
        <v>36</v>
      </c>
      <c r="D298" s="5">
        <v>2</v>
      </c>
      <c r="E298" s="6">
        <v>75</v>
      </c>
      <c r="F298" s="7">
        <v>48</v>
      </c>
      <c r="G298" s="9">
        <v>2</v>
      </c>
      <c r="H298" s="10">
        <v>91</v>
      </c>
      <c r="I298" s="11">
        <v>56</v>
      </c>
      <c r="J298" s="5">
        <v>2</v>
      </c>
      <c r="K298" s="6">
        <v>102.91</v>
      </c>
      <c r="L298" s="7">
        <v>59.37</v>
      </c>
      <c r="M298" s="9">
        <v>2.5</v>
      </c>
      <c r="N298" s="10">
        <v>96.8</v>
      </c>
      <c r="O298" s="11">
        <v>65.67</v>
      </c>
      <c r="P298" s="5">
        <v>4</v>
      </c>
      <c r="Q298" s="6">
        <v>215</v>
      </c>
      <c r="R298" s="7">
        <v>126</v>
      </c>
      <c r="S298" s="9">
        <v>5</v>
      </c>
      <c r="T298" s="10">
        <v>209</v>
      </c>
      <c r="U298" s="11">
        <v>138</v>
      </c>
    </row>
    <row r="299" spans="1:41">
      <c r="A299"/>
      <c r="B299"/>
      <c r="C299" s="12" t="s">
        <v>44</v>
      </c>
      <c r="D299" s="5">
        <v>0</v>
      </c>
      <c r="E299" s="6">
        <v>0</v>
      </c>
      <c r="F299" s="7">
        <v>0</v>
      </c>
      <c r="G299" s="9">
        <v>0</v>
      </c>
      <c r="H299" s="10">
        <v>0</v>
      </c>
      <c r="I299" s="11">
        <v>0</v>
      </c>
      <c r="J299" s="5">
        <v>0</v>
      </c>
      <c r="K299" s="6">
        <v>0</v>
      </c>
      <c r="L299" s="7">
        <v>0</v>
      </c>
      <c r="M299" s="9">
        <v>0</v>
      </c>
      <c r="N299" s="10">
        <v>0</v>
      </c>
      <c r="O299" s="11">
        <v>0</v>
      </c>
      <c r="P299" s="5">
        <v>0</v>
      </c>
      <c r="Q299" s="6">
        <v>0</v>
      </c>
      <c r="R299" s="7">
        <v>0</v>
      </c>
      <c r="S299" s="9">
        <v>0</v>
      </c>
      <c r="T299" s="10">
        <v>0</v>
      </c>
      <c r="U299" s="11">
        <v>0</v>
      </c>
    </row>
    <row r="300" spans="1:41">
      <c r="A300"/>
      <c r="B300"/>
      <c r="C300" s="12" t="s">
        <v>37</v>
      </c>
      <c r="D300" s="5">
        <v>41</v>
      </c>
      <c r="E300" s="6">
        <v>917</v>
      </c>
      <c r="F300" s="7">
        <v>563</v>
      </c>
      <c r="G300" s="9">
        <v>36</v>
      </c>
      <c r="H300" s="10">
        <v>777</v>
      </c>
      <c r="I300" s="11">
        <v>525</v>
      </c>
      <c r="J300" s="5">
        <v>37.97</v>
      </c>
      <c r="K300" s="6">
        <v>956.69</v>
      </c>
      <c r="L300" s="7">
        <v>581.83</v>
      </c>
      <c r="M300" s="9">
        <v>30.99</v>
      </c>
      <c r="N300" s="10">
        <v>766.46</v>
      </c>
      <c r="O300" s="11">
        <v>515.45</v>
      </c>
      <c r="P300" s="5">
        <v>87</v>
      </c>
      <c r="Q300" s="6">
        <v>2090</v>
      </c>
      <c r="R300" s="7">
        <v>1273</v>
      </c>
      <c r="S300" s="9">
        <v>67</v>
      </c>
      <c r="T300" s="10">
        <v>1667</v>
      </c>
      <c r="U300" s="11">
        <v>1127</v>
      </c>
    </row>
    <row r="301" spans="1:41">
      <c r="A301"/>
      <c r="B301"/>
      <c r="C301" s="12" t="s">
        <v>32</v>
      </c>
      <c r="D301" s="5">
        <v>21</v>
      </c>
      <c r="E301" s="6">
        <v>595</v>
      </c>
      <c r="F301" s="7">
        <v>421</v>
      </c>
      <c r="G301" s="9">
        <v>7</v>
      </c>
      <c r="H301" s="10">
        <v>423</v>
      </c>
      <c r="I301" s="11">
        <v>291</v>
      </c>
      <c r="J301" s="5">
        <v>23.14</v>
      </c>
      <c r="K301" s="6">
        <v>735.09</v>
      </c>
      <c r="L301" s="7">
        <v>459.47</v>
      </c>
      <c r="M301" s="9">
        <v>9.9</v>
      </c>
      <c r="N301" s="10">
        <v>465.22</v>
      </c>
      <c r="O301" s="11">
        <v>327.86</v>
      </c>
      <c r="P301" s="5">
        <v>51</v>
      </c>
      <c r="Q301" s="6">
        <v>1569</v>
      </c>
      <c r="R301" s="7">
        <v>998</v>
      </c>
      <c r="S301" s="9">
        <v>20</v>
      </c>
      <c r="T301" s="10">
        <v>1000</v>
      </c>
      <c r="U301" s="11">
        <v>695</v>
      </c>
    </row>
    <row r="302" spans="1:41">
      <c r="A302"/>
      <c r="B302"/>
      <c r="C302" s="12" t="s">
        <v>22</v>
      </c>
      <c r="D302" s="5">
        <v>8</v>
      </c>
      <c r="E302" s="6">
        <v>294</v>
      </c>
      <c r="F302" s="7">
        <v>189</v>
      </c>
      <c r="G302" s="9">
        <v>2</v>
      </c>
      <c r="H302" s="10">
        <v>187</v>
      </c>
      <c r="I302" s="11">
        <v>131</v>
      </c>
      <c r="J302" s="5">
        <v>5.93</v>
      </c>
      <c r="K302" s="6">
        <v>291.32</v>
      </c>
      <c r="L302" s="7">
        <v>194.84</v>
      </c>
      <c r="M302" s="9">
        <v>2</v>
      </c>
      <c r="N302" s="10">
        <v>155.95</v>
      </c>
      <c r="O302" s="11">
        <v>132.14</v>
      </c>
      <c r="P302" s="5">
        <v>14</v>
      </c>
      <c r="Q302" s="6">
        <v>633</v>
      </c>
      <c r="R302" s="7">
        <v>415</v>
      </c>
      <c r="S302" s="9">
        <v>4</v>
      </c>
      <c r="T302" s="10">
        <v>350</v>
      </c>
      <c r="U302" s="11">
        <v>288</v>
      </c>
    </row>
    <row r="303" spans="1:41">
      <c r="A303"/>
      <c r="B303"/>
      <c r="C303" s="12" t="s">
        <v>23</v>
      </c>
      <c r="D303" s="5">
        <v>4</v>
      </c>
      <c r="E303" s="6">
        <v>132</v>
      </c>
      <c r="F303" s="7">
        <v>72</v>
      </c>
      <c r="G303" s="9">
        <v>2</v>
      </c>
      <c r="H303" s="10">
        <v>57</v>
      </c>
      <c r="I303" s="11">
        <v>31</v>
      </c>
      <c r="J303" s="5">
        <v>3.94</v>
      </c>
      <c r="K303" s="6">
        <v>129.93</v>
      </c>
      <c r="L303" s="7">
        <v>66.42</v>
      </c>
      <c r="M303" s="9">
        <v>1.01</v>
      </c>
      <c r="N303" s="10">
        <v>56.34</v>
      </c>
      <c r="O303" s="11">
        <v>29.68</v>
      </c>
      <c r="P303" s="5">
        <v>9</v>
      </c>
      <c r="Q303" s="6">
        <v>287</v>
      </c>
      <c r="R303" s="7">
        <v>149</v>
      </c>
      <c r="S303" s="9">
        <v>3</v>
      </c>
      <c r="T303" s="10">
        <v>124</v>
      </c>
      <c r="U303" s="11">
        <v>65</v>
      </c>
    </row>
    <row r="304" spans="1:41">
      <c r="A304"/>
      <c r="B304"/>
      <c r="C304" s="12" t="s">
        <v>45</v>
      </c>
      <c r="D304" s="5">
        <v>1</v>
      </c>
      <c r="E304" s="6">
        <v>63</v>
      </c>
      <c r="F304" s="7">
        <v>51</v>
      </c>
      <c r="G304" s="9">
        <v>1</v>
      </c>
      <c r="H304" s="10">
        <v>45</v>
      </c>
      <c r="I304" s="11">
        <v>30</v>
      </c>
      <c r="J304" s="5">
        <v>0.25</v>
      </c>
      <c r="K304" s="6">
        <v>52.21</v>
      </c>
      <c r="L304" s="7">
        <v>43.58</v>
      </c>
      <c r="M304" s="9">
        <v>0.5</v>
      </c>
      <c r="N304" s="10">
        <v>32.08</v>
      </c>
      <c r="O304" s="11">
        <v>18.23</v>
      </c>
      <c r="P304" s="5">
        <v>1</v>
      </c>
      <c r="Q304" s="6">
        <v>120</v>
      </c>
      <c r="R304" s="7">
        <v>99</v>
      </c>
      <c r="S304" s="9">
        <v>1</v>
      </c>
      <c r="T304" s="10">
        <v>72</v>
      </c>
      <c r="U304" s="11">
        <v>44</v>
      </c>
    </row>
    <row r="305" spans="1:41">
      <c r="A305"/>
      <c r="B305"/>
      <c r="C305" s="12" t="s">
        <v>35</v>
      </c>
      <c r="D305" s="5">
        <v>11</v>
      </c>
      <c r="E305" s="6">
        <v>386</v>
      </c>
      <c r="F305" s="7">
        <v>288</v>
      </c>
      <c r="G305" s="9">
        <v>6</v>
      </c>
      <c r="H305" s="10">
        <v>341</v>
      </c>
      <c r="I305" s="11">
        <v>224</v>
      </c>
      <c r="J305" s="5">
        <v>7.25</v>
      </c>
      <c r="K305" s="6">
        <v>307.7</v>
      </c>
      <c r="L305" s="7">
        <v>226.34</v>
      </c>
      <c r="M305" s="9">
        <v>2.88</v>
      </c>
      <c r="N305" s="10">
        <v>233.11</v>
      </c>
      <c r="O305" s="11">
        <v>154.16</v>
      </c>
      <c r="P305" s="5">
        <v>16</v>
      </c>
      <c r="Q305" s="6">
        <v>691</v>
      </c>
      <c r="R305" s="7">
        <v>500</v>
      </c>
      <c r="S305" s="9">
        <v>7</v>
      </c>
      <c r="T305" s="10">
        <v>544</v>
      </c>
      <c r="U305" s="11">
        <v>354</v>
      </c>
    </row>
    <row r="306" spans="1:41">
      <c r="C306" s="13" t="s">
        <v>26</v>
      </c>
      <c r="D306" s="13" t="str">
        <f>SUM(D292:D305)</f>
        <v>0</v>
      </c>
      <c r="E306" s="13" t="str">
        <f>SUM(E292:E305)</f>
        <v>0</v>
      </c>
      <c r="F306" s="13" t="str">
        <f>SUM(F292:F305)</f>
        <v>0</v>
      </c>
      <c r="G306" s="13" t="str">
        <f>SUM(G292:G305)</f>
        <v>0</v>
      </c>
      <c r="H306" s="13" t="str">
        <f>SUM(H292:H305)</f>
        <v>0</v>
      </c>
      <c r="I306" s="13" t="str">
        <f>SUM(I292:I305)</f>
        <v>0</v>
      </c>
      <c r="J306" s="13" t="str">
        <f>SUM(J292:J305)</f>
        <v>0</v>
      </c>
      <c r="K306" s="13" t="str">
        <f>SUM(K292:K305)</f>
        <v>0</v>
      </c>
      <c r="L306" s="13" t="str">
        <f>SUM(L292:L305)</f>
        <v>0</v>
      </c>
      <c r="M306" s="13" t="str">
        <f>SUM(M292:M305)</f>
        <v>0</v>
      </c>
      <c r="N306" s="13" t="str">
        <f>SUM(N292:N305)</f>
        <v>0</v>
      </c>
      <c r="O306" s="13" t="str">
        <f>SUM(O292:O305)</f>
        <v>0</v>
      </c>
      <c r="P306" s="13" t="str">
        <f>SUM(P292:P305)</f>
        <v>0</v>
      </c>
      <c r="Q306" s="13" t="str">
        <f>SUM(Q292:Q305)</f>
        <v>0</v>
      </c>
      <c r="R306" s="13" t="str">
        <f>SUM(R292:R305)</f>
        <v>0</v>
      </c>
      <c r="S306" s="13" t="str">
        <f>SUM(S292:S305)</f>
        <v>0</v>
      </c>
      <c r="T306" s="13" t="str">
        <f>SUM(T292:T305)</f>
        <v>0</v>
      </c>
      <c r="U306" s="13" t="str">
        <f>SUM(U292:U305)</f>
        <v>0</v>
      </c>
    </row>
    <row r="307" spans="1:41">
      <c r="A307"/>
      <c r="B307" s="14" t="s">
        <v>106</v>
      </c>
      <c r="C307" s="12" t="s">
        <v>46</v>
      </c>
      <c r="D307" s="5">
        <v>0</v>
      </c>
      <c r="E307" s="6">
        <v>0</v>
      </c>
      <c r="F307" s="7">
        <v>0</v>
      </c>
      <c r="G307" s="9">
        <v>0</v>
      </c>
      <c r="H307" s="10">
        <v>0</v>
      </c>
      <c r="I307" s="11">
        <v>0</v>
      </c>
      <c r="J307" s="5">
        <v>0</v>
      </c>
      <c r="K307" s="6">
        <v>0</v>
      </c>
      <c r="L307" s="7">
        <v>0</v>
      </c>
      <c r="M307" s="9">
        <v>0</v>
      </c>
      <c r="N307" s="10">
        <v>0</v>
      </c>
      <c r="O307" s="11">
        <v>0</v>
      </c>
      <c r="P307" s="5">
        <v>0</v>
      </c>
      <c r="Q307" s="6">
        <v>0</v>
      </c>
      <c r="R307" s="7">
        <v>0</v>
      </c>
      <c r="S307" s="9">
        <v>0</v>
      </c>
      <c r="T307" s="10">
        <v>0</v>
      </c>
      <c r="U307" s="11">
        <v>0</v>
      </c>
    </row>
    <row r="308" spans="1:41">
      <c r="A308"/>
      <c r="B308"/>
      <c r="C308" s="12" t="s">
        <v>30</v>
      </c>
      <c r="D308" s="5">
        <v>1</v>
      </c>
      <c r="E308" s="6">
        <v>30</v>
      </c>
      <c r="F308" s="7">
        <v>5</v>
      </c>
      <c r="G308" s="9">
        <v>0</v>
      </c>
      <c r="H308" s="10">
        <v>1</v>
      </c>
      <c r="I308" s="11">
        <v>2</v>
      </c>
      <c r="J308" s="5">
        <v>1.5</v>
      </c>
      <c r="K308" s="6">
        <v>25.8</v>
      </c>
      <c r="L308" s="7">
        <v>4.67</v>
      </c>
      <c r="M308" s="9">
        <v>0</v>
      </c>
      <c r="N308" s="10">
        <v>1</v>
      </c>
      <c r="O308" s="11">
        <v>0.8</v>
      </c>
      <c r="P308" s="5">
        <v>3</v>
      </c>
      <c r="Q308" s="6">
        <v>57</v>
      </c>
      <c r="R308" s="7">
        <v>10</v>
      </c>
      <c r="S308" s="9">
        <v>0</v>
      </c>
      <c r="T308" s="10">
        <v>2</v>
      </c>
      <c r="U308" s="11">
        <v>2</v>
      </c>
    </row>
    <row r="309" spans="1:41">
      <c r="A309"/>
      <c r="B309"/>
      <c r="C309" s="12" t="s">
        <v>43</v>
      </c>
      <c r="D309" s="5">
        <v>0</v>
      </c>
      <c r="E309" s="6">
        <v>0</v>
      </c>
      <c r="F309" s="7">
        <v>0</v>
      </c>
      <c r="G309" s="9">
        <v>0</v>
      </c>
      <c r="H309" s="10">
        <v>0</v>
      </c>
      <c r="I309" s="11">
        <v>0</v>
      </c>
      <c r="J309" s="5">
        <v>0</v>
      </c>
      <c r="K309" s="6">
        <v>0</v>
      </c>
      <c r="L309" s="7">
        <v>0</v>
      </c>
      <c r="M309" s="9">
        <v>0</v>
      </c>
      <c r="N309" s="10">
        <v>0</v>
      </c>
      <c r="O309" s="11">
        <v>0</v>
      </c>
      <c r="P309" s="5">
        <v>0</v>
      </c>
      <c r="Q309" s="6">
        <v>0</v>
      </c>
      <c r="R309" s="7">
        <v>0</v>
      </c>
      <c r="S309" s="9">
        <v>0</v>
      </c>
      <c r="T309" s="10">
        <v>0</v>
      </c>
      <c r="U309" s="11">
        <v>0</v>
      </c>
    </row>
    <row r="310" spans="1:41">
      <c r="A310"/>
      <c r="B310"/>
      <c r="C310" s="12" t="s">
        <v>17</v>
      </c>
      <c r="D310" s="5">
        <v>0</v>
      </c>
      <c r="E310" s="6">
        <v>0</v>
      </c>
      <c r="F310" s="7">
        <v>0</v>
      </c>
      <c r="G310" s="9">
        <v>0</v>
      </c>
      <c r="H310" s="10">
        <v>0</v>
      </c>
      <c r="I310" s="11">
        <v>0</v>
      </c>
      <c r="J310" s="5">
        <v>0</v>
      </c>
      <c r="K310" s="6">
        <v>0</v>
      </c>
      <c r="L310" s="7">
        <v>0</v>
      </c>
      <c r="M310" s="9">
        <v>0</v>
      </c>
      <c r="N310" s="10">
        <v>0</v>
      </c>
      <c r="O310" s="11">
        <v>0</v>
      </c>
      <c r="P310" s="5">
        <v>0</v>
      </c>
      <c r="Q310" s="6">
        <v>0</v>
      </c>
      <c r="R310" s="7">
        <v>0</v>
      </c>
      <c r="S310" s="9">
        <v>0</v>
      </c>
      <c r="T310" s="10">
        <v>0</v>
      </c>
      <c r="U310" s="11">
        <v>0</v>
      </c>
    </row>
    <row r="311" spans="1:41">
      <c r="A311"/>
      <c r="B311"/>
      <c r="C311" s="12" t="s">
        <v>18</v>
      </c>
      <c r="D311" s="5">
        <v>2</v>
      </c>
      <c r="E311" s="6">
        <v>80</v>
      </c>
      <c r="F311" s="7">
        <v>55</v>
      </c>
      <c r="G311" s="9">
        <v>0</v>
      </c>
      <c r="H311" s="10">
        <v>34</v>
      </c>
      <c r="I311" s="11">
        <v>28</v>
      </c>
      <c r="J311" s="5">
        <v>1.46</v>
      </c>
      <c r="K311" s="6">
        <v>98.19</v>
      </c>
      <c r="L311" s="7">
        <v>61.06</v>
      </c>
      <c r="M311" s="9">
        <v>0</v>
      </c>
      <c r="N311" s="10">
        <v>38</v>
      </c>
      <c r="O311" s="11">
        <v>36.05</v>
      </c>
      <c r="P311" s="5">
        <v>3</v>
      </c>
      <c r="Q311" s="6">
        <v>206</v>
      </c>
      <c r="R311" s="7">
        <v>132</v>
      </c>
      <c r="S311" s="9">
        <v>0</v>
      </c>
      <c r="T311" s="10">
        <v>80</v>
      </c>
      <c r="U311" s="11">
        <v>78</v>
      </c>
    </row>
    <row r="312" spans="1:41">
      <c r="A312"/>
      <c r="B312"/>
      <c r="C312" s="12" t="s">
        <v>20</v>
      </c>
      <c r="D312" s="5">
        <v>5</v>
      </c>
      <c r="E312" s="6">
        <v>79</v>
      </c>
      <c r="F312" s="7">
        <v>90</v>
      </c>
      <c r="G312" s="9">
        <v>1</v>
      </c>
      <c r="H312" s="10">
        <v>40</v>
      </c>
      <c r="I312" s="11">
        <v>41</v>
      </c>
      <c r="J312" s="5">
        <v>4.5</v>
      </c>
      <c r="K312" s="6">
        <v>60</v>
      </c>
      <c r="L312" s="7">
        <v>75.5</v>
      </c>
      <c r="M312" s="9">
        <v>2</v>
      </c>
      <c r="N312" s="10">
        <v>26.9</v>
      </c>
      <c r="O312" s="11">
        <v>37.02</v>
      </c>
      <c r="P312" s="5">
        <v>9</v>
      </c>
      <c r="Q312" s="6">
        <v>133</v>
      </c>
      <c r="R312" s="7">
        <v>167</v>
      </c>
      <c r="S312" s="9">
        <v>4</v>
      </c>
      <c r="T312" s="10">
        <v>59</v>
      </c>
      <c r="U312" s="11">
        <v>81</v>
      </c>
    </row>
    <row r="313" spans="1:41">
      <c r="A313"/>
      <c r="B313"/>
      <c r="C313" s="12" t="s">
        <v>47</v>
      </c>
      <c r="D313" s="5">
        <v>4</v>
      </c>
      <c r="E313" s="6">
        <v>54</v>
      </c>
      <c r="F313" s="7">
        <v>20</v>
      </c>
      <c r="G313" s="9">
        <v>0</v>
      </c>
      <c r="H313" s="10">
        <v>16</v>
      </c>
      <c r="I313" s="11">
        <v>14</v>
      </c>
      <c r="J313" s="5">
        <v>5</v>
      </c>
      <c r="K313" s="6">
        <v>77.51</v>
      </c>
      <c r="L313" s="7">
        <v>28.91</v>
      </c>
      <c r="M313" s="9">
        <v>0</v>
      </c>
      <c r="N313" s="10">
        <v>16.87</v>
      </c>
      <c r="O313" s="11">
        <v>17.4</v>
      </c>
      <c r="P313" s="5">
        <v>10</v>
      </c>
      <c r="Q313" s="6">
        <v>159</v>
      </c>
      <c r="R313" s="7">
        <v>59</v>
      </c>
      <c r="S313" s="9">
        <v>0</v>
      </c>
      <c r="T313" s="10">
        <v>36</v>
      </c>
      <c r="U313" s="11">
        <v>36</v>
      </c>
    </row>
    <row r="314" spans="1:41">
      <c r="A314"/>
      <c r="B314"/>
      <c r="C314" s="12" t="s">
        <v>22</v>
      </c>
      <c r="D314" s="5">
        <v>7</v>
      </c>
      <c r="E314" s="6">
        <v>205</v>
      </c>
      <c r="F314" s="7">
        <v>69</v>
      </c>
      <c r="G314" s="9">
        <v>1</v>
      </c>
      <c r="H314" s="10">
        <v>63</v>
      </c>
      <c r="I314" s="11">
        <v>38</v>
      </c>
      <c r="J314" s="5">
        <v>7.88</v>
      </c>
      <c r="K314" s="6">
        <v>277.37</v>
      </c>
      <c r="L314" s="7">
        <v>97.52</v>
      </c>
      <c r="M314" s="9">
        <v>2</v>
      </c>
      <c r="N314" s="10">
        <v>85.47</v>
      </c>
      <c r="O314" s="11">
        <v>51.3</v>
      </c>
      <c r="P314" s="5">
        <v>16</v>
      </c>
      <c r="Q314" s="6">
        <v>561</v>
      </c>
      <c r="R314" s="7">
        <v>199</v>
      </c>
      <c r="S314" s="9">
        <v>4</v>
      </c>
      <c r="T314" s="10">
        <v>174</v>
      </c>
      <c r="U314" s="11">
        <v>103</v>
      </c>
    </row>
    <row r="315" spans="1:41">
      <c r="A315"/>
      <c r="B315"/>
      <c r="C315" s="12" t="s">
        <v>45</v>
      </c>
      <c r="D315" s="5">
        <v>0</v>
      </c>
      <c r="E315" s="6">
        <v>0</v>
      </c>
      <c r="F315" s="7">
        <v>0</v>
      </c>
      <c r="G315" s="9">
        <v>0</v>
      </c>
      <c r="H315" s="10">
        <v>0</v>
      </c>
      <c r="I315" s="11">
        <v>0</v>
      </c>
      <c r="J315" s="5">
        <v>0</v>
      </c>
      <c r="K315" s="6">
        <v>0</v>
      </c>
      <c r="L315" s="7">
        <v>0</v>
      </c>
      <c r="M315" s="9">
        <v>0</v>
      </c>
      <c r="N315" s="10">
        <v>0</v>
      </c>
      <c r="O315" s="11">
        <v>0</v>
      </c>
      <c r="P315" s="5">
        <v>0</v>
      </c>
      <c r="Q315" s="6">
        <v>0</v>
      </c>
      <c r="R315" s="7">
        <v>0</v>
      </c>
      <c r="S315" s="9">
        <v>0</v>
      </c>
      <c r="T315" s="10">
        <v>0</v>
      </c>
      <c r="U315" s="11">
        <v>0</v>
      </c>
    </row>
    <row r="316" spans="1:41">
      <c r="C316" s="13" t="s">
        <v>26</v>
      </c>
      <c r="D316" s="13" t="str">
        <f>SUM(D307:D315)</f>
        <v>0</v>
      </c>
      <c r="E316" s="13" t="str">
        <f>SUM(E307:E315)</f>
        <v>0</v>
      </c>
      <c r="F316" s="13" t="str">
        <f>SUM(F307:F315)</f>
        <v>0</v>
      </c>
      <c r="G316" s="13" t="str">
        <f>SUM(G307:G315)</f>
        <v>0</v>
      </c>
      <c r="H316" s="13" t="str">
        <f>SUM(H307:H315)</f>
        <v>0</v>
      </c>
      <c r="I316" s="13" t="str">
        <f>SUM(I307:I315)</f>
        <v>0</v>
      </c>
      <c r="J316" s="13" t="str">
        <f>SUM(J307:J315)</f>
        <v>0</v>
      </c>
      <c r="K316" s="13" t="str">
        <f>SUM(K307:K315)</f>
        <v>0</v>
      </c>
      <c r="L316" s="13" t="str">
        <f>SUM(L307:L315)</f>
        <v>0</v>
      </c>
      <c r="M316" s="13" t="str">
        <f>SUM(M307:M315)</f>
        <v>0</v>
      </c>
      <c r="N316" s="13" t="str">
        <f>SUM(N307:N315)</f>
        <v>0</v>
      </c>
      <c r="O316" s="13" t="str">
        <f>SUM(O307:O315)</f>
        <v>0</v>
      </c>
      <c r="P316" s="13" t="str">
        <f>SUM(P307:P315)</f>
        <v>0</v>
      </c>
      <c r="Q316" s="13" t="str">
        <f>SUM(Q307:Q315)</f>
        <v>0</v>
      </c>
      <c r="R316" s="13" t="str">
        <f>SUM(R307:R315)</f>
        <v>0</v>
      </c>
      <c r="S316" s="13" t="str">
        <f>SUM(S307:S315)</f>
        <v>0</v>
      </c>
      <c r="T316" s="13" t="str">
        <f>SUM(T307:T315)</f>
        <v>0</v>
      </c>
      <c r="U316" s="13" t="str">
        <f>SUM(U307:U315)</f>
        <v>0</v>
      </c>
    </row>
    <row r="317" spans="1:41">
      <c r="A317"/>
      <c r="B317" s="14" t="s">
        <v>107</v>
      </c>
      <c r="C317" s="12" t="s">
        <v>30</v>
      </c>
      <c r="D317" s="5">
        <v>13</v>
      </c>
      <c r="E317" s="6">
        <v>196</v>
      </c>
      <c r="F317" s="7">
        <v>90</v>
      </c>
      <c r="G317" s="9">
        <v>9</v>
      </c>
      <c r="H317" s="10">
        <v>109</v>
      </c>
      <c r="I317" s="11">
        <v>53</v>
      </c>
      <c r="J317" s="5">
        <v>10.6</v>
      </c>
      <c r="K317" s="6">
        <v>141.35</v>
      </c>
      <c r="L317" s="7">
        <v>73.6</v>
      </c>
      <c r="M317" s="9">
        <v>3.43</v>
      </c>
      <c r="N317" s="10">
        <v>48.69</v>
      </c>
      <c r="O317" s="11">
        <v>25.9</v>
      </c>
      <c r="P317" s="5">
        <v>22</v>
      </c>
      <c r="Q317" s="6">
        <v>312</v>
      </c>
      <c r="R317" s="7">
        <v>160</v>
      </c>
      <c r="S317" s="9">
        <v>9</v>
      </c>
      <c r="T317" s="10">
        <v>134</v>
      </c>
      <c r="U317" s="11">
        <v>66</v>
      </c>
    </row>
    <row r="318" spans="1:41">
      <c r="A318"/>
      <c r="B318"/>
      <c r="C318" s="12" t="s">
        <v>43</v>
      </c>
      <c r="D318" s="5">
        <v>0</v>
      </c>
      <c r="E318" s="6">
        <v>0</v>
      </c>
      <c r="F318" s="7">
        <v>0</v>
      </c>
      <c r="G318" s="9">
        <v>0</v>
      </c>
      <c r="H318" s="10">
        <v>0</v>
      </c>
      <c r="I318" s="11">
        <v>0</v>
      </c>
      <c r="J318" s="5">
        <v>0</v>
      </c>
      <c r="K318" s="6">
        <v>0</v>
      </c>
      <c r="L318" s="7">
        <v>0</v>
      </c>
      <c r="M318" s="9">
        <v>0</v>
      </c>
      <c r="N318" s="10">
        <v>0</v>
      </c>
      <c r="O318" s="11">
        <v>0</v>
      </c>
      <c r="P318" s="5">
        <v>0</v>
      </c>
      <c r="Q318" s="6">
        <v>0</v>
      </c>
      <c r="R318" s="7">
        <v>0</v>
      </c>
      <c r="S318" s="9">
        <v>0</v>
      </c>
      <c r="T318" s="10">
        <v>0</v>
      </c>
      <c r="U318" s="11">
        <v>0</v>
      </c>
    </row>
    <row r="319" spans="1:41">
      <c r="A319"/>
      <c r="B319"/>
      <c r="C319" s="12" t="s">
        <v>16</v>
      </c>
      <c r="D319" s="5">
        <v>30</v>
      </c>
      <c r="E319" s="6">
        <v>618</v>
      </c>
      <c r="F319" s="7">
        <v>345</v>
      </c>
      <c r="G319" s="9">
        <v>12</v>
      </c>
      <c r="H319" s="10">
        <v>297</v>
      </c>
      <c r="I319" s="11">
        <v>188</v>
      </c>
      <c r="J319" s="5">
        <v>24.82</v>
      </c>
      <c r="K319" s="6">
        <v>534.79</v>
      </c>
      <c r="L319" s="7">
        <v>340.86</v>
      </c>
      <c r="M319" s="9">
        <v>7.28</v>
      </c>
      <c r="N319" s="10">
        <v>254.07</v>
      </c>
      <c r="O319" s="11">
        <v>169.72</v>
      </c>
      <c r="P319" s="5">
        <v>53</v>
      </c>
      <c r="Q319" s="6">
        <v>1148</v>
      </c>
      <c r="R319" s="7">
        <v>713</v>
      </c>
      <c r="S319" s="9">
        <v>18</v>
      </c>
      <c r="T319" s="10">
        <v>546</v>
      </c>
      <c r="U319" s="11">
        <v>367</v>
      </c>
    </row>
    <row r="320" spans="1:41">
      <c r="A320"/>
      <c r="B320"/>
      <c r="C320" s="12" t="s">
        <v>17</v>
      </c>
      <c r="D320" s="5">
        <v>0</v>
      </c>
      <c r="E320" s="6">
        <v>0</v>
      </c>
      <c r="F320" s="7">
        <v>0</v>
      </c>
      <c r="G320" s="9">
        <v>0</v>
      </c>
      <c r="H320" s="10">
        <v>0</v>
      </c>
      <c r="I320" s="11">
        <v>0</v>
      </c>
      <c r="J320" s="5">
        <v>0</v>
      </c>
      <c r="K320" s="6">
        <v>0</v>
      </c>
      <c r="L320" s="7">
        <v>0</v>
      </c>
      <c r="M320" s="9">
        <v>0</v>
      </c>
      <c r="N320" s="10">
        <v>0</v>
      </c>
      <c r="O320" s="11">
        <v>0</v>
      </c>
      <c r="P320" s="5">
        <v>0</v>
      </c>
      <c r="Q320" s="6">
        <v>0</v>
      </c>
      <c r="R320" s="7">
        <v>0</v>
      </c>
      <c r="S320" s="9">
        <v>0</v>
      </c>
      <c r="T320" s="10">
        <v>0</v>
      </c>
      <c r="U320" s="11">
        <v>0</v>
      </c>
    </row>
    <row r="321" spans="1:41">
      <c r="A321"/>
      <c r="B321"/>
      <c r="C321" s="12" t="s">
        <v>18</v>
      </c>
      <c r="D321" s="5">
        <v>32</v>
      </c>
      <c r="E321" s="6">
        <v>841</v>
      </c>
      <c r="F321" s="7">
        <v>411</v>
      </c>
      <c r="G321" s="9">
        <v>24</v>
      </c>
      <c r="H321" s="10">
        <v>500</v>
      </c>
      <c r="I321" s="11">
        <v>255</v>
      </c>
      <c r="J321" s="5">
        <v>32.74</v>
      </c>
      <c r="K321" s="6">
        <v>815.91</v>
      </c>
      <c r="L321" s="7">
        <v>427.81</v>
      </c>
      <c r="M321" s="9">
        <v>24.31</v>
      </c>
      <c r="N321" s="10">
        <v>403.78</v>
      </c>
      <c r="O321" s="11">
        <v>216.91</v>
      </c>
      <c r="P321" s="5">
        <v>72</v>
      </c>
      <c r="Q321" s="6">
        <v>1736</v>
      </c>
      <c r="R321" s="7">
        <v>918</v>
      </c>
      <c r="S321" s="9">
        <v>53</v>
      </c>
      <c r="T321" s="10">
        <v>894</v>
      </c>
      <c r="U321" s="11">
        <v>471</v>
      </c>
    </row>
    <row r="322" spans="1:41">
      <c r="A322"/>
      <c r="B322"/>
      <c r="C322" s="12" t="s">
        <v>20</v>
      </c>
      <c r="D322" s="5">
        <v>34</v>
      </c>
      <c r="E322" s="6">
        <v>379</v>
      </c>
      <c r="F322" s="7">
        <v>211</v>
      </c>
      <c r="G322" s="9">
        <v>10</v>
      </c>
      <c r="H322" s="10">
        <v>300</v>
      </c>
      <c r="I322" s="11">
        <v>141</v>
      </c>
      <c r="J322" s="5">
        <v>33.55</v>
      </c>
      <c r="K322" s="6">
        <v>433.17</v>
      </c>
      <c r="L322" s="7">
        <v>242.81</v>
      </c>
      <c r="M322" s="9">
        <v>9.3</v>
      </c>
      <c r="N322" s="10">
        <v>329.6</v>
      </c>
      <c r="O322" s="11">
        <v>163.23</v>
      </c>
      <c r="P322" s="5">
        <v>70</v>
      </c>
      <c r="Q322" s="6">
        <v>912</v>
      </c>
      <c r="R322" s="7">
        <v>512</v>
      </c>
      <c r="S322" s="9">
        <v>20</v>
      </c>
      <c r="T322" s="10">
        <v>699</v>
      </c>
      <c r="U322" s="11">
        <v>353</v>
      </c>
    </row>
    <row r="323" spans="1:41">
      <c r="A323"/>
      <c r="B323"/>
      <c r="C323" s="12" t="s">
        <v>36</v>
      </c>
      <c r="D323" s="5">
        <v>3</v>
      </c>
      <c r="E323" s="6">
        <v>38</v>
      </c>
      <c r="F323" s="7">
        <v>17</v>
      </c>
      <c r="G323" s="9">
        <v>5</v>
      </c>
      <c r="H323" s="10">
        <v>31</v>
      </c>
      <c r="I323" s="11">
        <v>21</v>
      </c>
      <c r="J323" s="5">
        <v>2</v>
      </c>
      <c r="K323" s="6">
        <v>39.7</v>
      </c>
      <c r="L323" s="7">
        <v>22</v>
      </c>
      <c r="M323" s="9">
        <v>8.45</v>
      </c>
      <c r="N323" s="10">
        <v>37.35</v>
      </c>
      <c r="O323" s="11">
        <v>26.85</v>
      </c>
      <c r="P323" s="5">
        <v>4</v>
      </c>
      <c r="Q323" s="6">
        <v>88</v>
      </c>
      <c r="R323" s="7">
        <v>47</v>
      </c>
      <c r="S323" s="9">
        <v>19</v>
      </c>
      <c r="T323" s="10">
        <v>83</v>
      </c>
      <c r="U323" s="11">
        <v>59</v>
      </c>
    </row>
    <row r="324" spans="1:41">
      <c r="A324"/>
      <c r="B324"/>
      <c r="C324" s="12" t="s">
        <v>37</v>
      </c>
      <c r="D324" s="5">
        <v>6</v>
      </c>
      <c r="E324" s="6">
        <v>175</v>
      </c>
      <c r="F324" s="7">
        <v>103</v>
      </c>
      <c r="G324" s="9">
        <v>2</v>
      </c>
      <c r="H324" s="10">
        <v>102</v>
      </c>
      <c r="I324" s="11">
        <v>70</v>
      </c>
      <c r="J324" s="5">
        <v>6.09</v>
      </c>
      <c r="K324" s="6">
        <v>176.94</v>
      </c>
      <c r="L324" s="7">
        <v>95.04</v>
      </c>
      <c r="M324" s="9">
        <v>2</v>
      </c>
      <c r="N324" s="10">
        <v>107.65</v>
      </c>
      <c r="O324" s="11">
        <v>69</v>
      </c>
      <c r="P324" s="5">
        <v>13</v>
      </c>
      <c r="Q324" s="6">
        <v>382</v>
      </c>
      <c r="R324" s="7">
        <v>207</v>
      </c>
      <c r="S324" s="9">
        <v>5</v>
      </c>
      <c r="T324" s="10">
        <v>232</v>
      </c>
      <c r="U324" s="11">
        <v>150</v>
      </c>
    </row>
    <row r="325" spans="1:41">
      <c r="A325"/>
      <c r="B325"/>
      <c r="C325" s="12" t="s">
        <v>47</v>
      </c>
      <c r="D325" s="5">
        <v>0</v>
      </c>
      <c r="E325" s="6">
        <v>0</v>
      </c>
      <c r="F325" s="7">
        <v>0</v>
      </c>
      <c r="G325" s="9">
        <v>0</v>
      </c>
      <c r="H325" s="10">
        <v>0</v>
      </c>
      <c r="I325" s="11">
        <v>0</v>
      </c>
      <c r="J325" s="5">
        <v>0</v>
      </c>
      <c r="K325" s="6">
        <v>0</v>
      </c>
      <c r="L325" s="7">
        <v>0</v>
      </c>
      <c r="M325" s="9">
        <v>0</v>
      </c>
      <c r="N325" s="10">
        <v>0</v>
      </c>
      <c r="O325" s="11">
        <v>0</v>
      </c>
      <c r="P325" s="5">
        <v>0</v>
      </c>
      <c r="Q325" s="6">
        <v>0</v>
      </c>
      <c r="R325" s="7">
        <v>0</v>
      </c>
      <c r="S325" s="9">
        <v>0</v>
      </c>
      <c r="T325" s="10">
        <v>0</v>
      </c>
      <c r="U325" s="11">
        <v>0</v>
      </c>
    </row>
    <row r="326" spans="1:41">
      <c r="A326"/>
      <c r="B326"/>
      <c r="C326" s="12" t="s">
        <v>32</v>
      </c>
      <c r="D326" s="5">
        <v>8</v>
      </c>
      <c r="E326" s="6">
        <v>125</v>
      </c>
      <c r="F326" s="7">
        <v>85</v>
      </c>
      <c r="G326" s="9">
        <v>4</v>
      </c>
      <c r="H326" s="10">
        <v>124</v>
      </c>
      <c r="I326" s="11">
        <v>52</v>
      </c>
      <c r="J326" s="5">
        <v>5.73</v>
      </c>
      <c r="K326" s="6">
        <v>118.26</v>
      </c>
      <c r="L326" s="7">
        <v>88.83</v>
      </c>
      <c r="M326" s="9">
        <v>4.45</v>
      </c>
      <c r="N326" s="10">
        <v>109.72</v>
      </c>
      <c r="O326" s="11">
        <v>53.77</v>
      </c>
      <c r="P326" s="5">
        <v>14</v>
      </c>
      <c r="Q326" s="6">
        <v>273</v>
      </c>
      <c r="R326" s="7">
        <v>211</v>
      </c>
      <c r="S326" s="9">
        <v>11</v>
      </c>
      <c r="T326" s="10">
        <v>260</v>
      </c>
      <c r="U326" s="11">
        <v>126</v>
      </c>
    </row>
    <row r="327" spans="1:41">
      <c r="A327"/>
      <c r="B327"/>
      <c r="C327" s="12" t="s">
        <v>22</v>
      </c>
      <c r="D327" s="5">
        <v>2</v>
      </c>
      <c r="E327" s="6">
        <v>75</v>
      </c>
      <c r="F327" s="7">
        <v>33</v>
      </c>
      <c r="G327" s="9">
        <v>2</v>
      </c>
      <c r="H327" s="10">
        <v>54</v>
      </c>
      <c r="I327" s="11">
        <v>20</v>
      </c>
      <c r="J327" s="5">
        <v>2.5</v>
      </c>
      <c r="K327" s="6">
        <v>87.63</v>
      </c>
      <c r="L327" s="7">
        <v>40.83</v>
      </c>
      <c r="M327" s="9">
        <v>0.5</v>
      </c>
      <c r="N327" s="10">
        <v>65.84</v>
      </c>
      <c r="O327" s="11">
        <v>33.47</v>
      </c>
      <c r="P327" s="5">
        <v>5</v>
      </c>
      <c r="Q327" s="6">
        <v>189</v>
      </c>
      <c r="R327" s="7">
        <v>86</v>
      </c>
      <c r="S327" s="9">
        <v>2</v>
      </c>
      <c r="T327" s="10">
        <v>140</v>
      </c>
      <c r="U327" s="11">
        <v>69</v>
      </c>
    </row>
    <row r="328" spans="1:41">
      <c r="A328"/>
      <c r="B328"/>
      <c r="C328" s="12" t="s">
        <v>23</v>
      </c>
      <c r="D328" s="5">
        <v>0</v>
      </c>
      <c r="E328" s="6">
        <v>0</v>
      </c>
      <c r="F328" s="7">
        <v>0</v>
      </c>
      <c r="G328" s="9">
        <v>0</v>
      </c>
      <c r="H328" s="10">
        <v>0</v>
      </c>
      <c r="I328" s="11">
        <v>0</v>
      </c>
      <c r="J328" s="5">
        <v>0</v>
      </c>
      <c r="K328" s="6">
        <v>0</v>
      </c>
      <c r="L328" s="7">
        <v>0</v>
      </c>
      <c r="M328" s="9">
        <v>0</v>
      </c>
      <c r="N328" s="10">
        <v>0</v>
      </c>
      <c r="O328" s="11">
        <v>0</v>
      </c>
      <c r="P328" s="5">
        <v>0</v>
      </c>
      <c r="Q328" s="6">
        <v>0</v>
      </c>
      <c r="R328" s="7">
        <v>0</v>
      </c>
      <c r="S328" s="9">
        <v>0</v>
      </c>
      <c r="T328" s="10">
        <v>0</v>
      </c>
      <c r="U328" s="11">
        <v>0</v>
      </c>
    </row>
    <row r="329" spans="1:41">
      <c r="A329"/>
      <c r="B329"/>
      <c r="C329" s="12" t="s">
        <v>45</v>
      </c>
      <c r="D329" s="5">
        <v>0</v>
      </c>
      <c r="E329" s="6">
        <v>0</v>
      </c>
      <c r="F329" s="7">
        <v>0</v>
      </c>
      <c r="G329" s="9">
        <v>0</v>
      </c>
      <c r="H329" s="10">
        <v>0</v>
      </c>
      <c r="I329" s="11">
        <v>0</v>
      </c>
      <c r="J329" s="5">
        <v>0</v>
      </c>
      <c r="K329" s="6">
        <v>0</v>
      </c>
      <c r="L329" s="7">
        <v>0</v>
      </c>
      <c r="M329" s="9">
        <v>0</v>
      </c>
      <c r="N329" s="10">
        <v>0</v>
      </c>
      <c r="O329" s="11">
        <v>0</v>
      </c>
      <c r="P329" s="5">
        <v>0</v>
      </c>
      <c r="Q329" s="6">
        <v>0</v>
      </c>
      <c r="R329" s="7">
        <v>0</v>
      </c>
      <c r="S329" s="9">
        <v>0</v>
      </c>
      <c r="T329" s="10">
        <v>0</v>
      </c>
      <c r="U329" s="11">
        <v>0</v>
      </c>
    </row>
    <row r="330" spans="1:41">
      <c r="A330"/>
      <c r="B330"/>
      <c r="C330" s="12" t="s">
        <v>38</v>
      </c>
      <c r="D330" s="5">
        <v>0</v>
      </c>
      <c r="E330" s="6">
        <v>0</v>
      </c>
      <c r="F330" s="7">
        <v>0</v>
      </c>
      <c r="G330" s="9">
        <v>0</v>
      </c>
      <c r="H330" s="10">
        <v>0</v>
      </c>
      <c r="I330" s="11">
        <v>0</v>
      </c>
      <c r="J330" s="5">
        <v>0</v>
      </c>
      <c r="K330" s="6">
        <v>0</v>
      </c>
      <c r="L330" s="7">
        <v>0</v>
      </c>
      <c r="M330" s="9">
        <v>0</v>
      </c>
      <c r="N330" s="10">
        <v>0</v>
      </c>
      <c r="O330" s="11">
        <v>0</v>
      </c>
      <c r="P330" s="5">
        <v>0</v>
      </c>
      <c r="Q330" s="6">
        <v>0</v>
      </c>
      <c r="R330" s="7">
        <v>0</v>
      </c>
      <c r="S330" s="9">
        <v>0</v>
      </c>
      <c r="T330" s="10">
        <v>0</v>
      </c>
      <c r="U330" s="11">
        <v>0</v>
      </c>
    </row>
    <row r="331" spans="1:41">
      <c r="C331" s="13" t="s">
        <v>26</v>
      </c>
      <c r="D331" s="13" t="str">
        <f>SUM(D317:D330)</f>
        <v>0</v>
      </c>
      <c r="E331" s="13" t="str">
        <f>SUM(E317:E330)</f>
        <v>0</v>
      </c>
      <c r="F331" s="13" t="str">
        <f>SUM(F317:F330)</f>
        <v>0</v>
      </c>
      <c r="G331" s="13" t="str">
        <f>SUM(G317:G330)</f>
        <v>0</v>
      </c>
      <c r="H331" s="13" t="str">
        <f>SUM(H317:H330)</f>
        <v>0</v>
      </c>
      <c r="I331" s="13" t="str">
        <f>SUM(I317:I330)</f>
        <v>0</v>
      </c>
      <c r="J331" s="13" t="str">
        <f>SUM(J317:J330)</f>
        <v>0</v>
      </c>
      <c r="K331" s="13" t="str">
        <f>SUM(K317:K330)</f>
        <v>0</v>
      </c>
      <c r="L331" s="13" t="str">
        <f>SUM(L317:L330)</f>
        <v>0</v>
      </c>
      <c r="M331" s="13" t="str">
        <f>SUM(M317:M330)</f>
        <v>0</v>
      </c>
      <c r="N331" s="13" t="str">
        <f>SUM(N317:N330)</f>
        <v>0</v>
      </c>
      <c r="O331" s="13" t="str">
        <f>SUM(O317:O330)</f>
        <v>0</v>
      </c>
      <c r="P331" s="13" t="str">
        <f>SUM(P317:P330)</f>
        <v>0</v>
      </c>
      <c r="Q331" s="13" t="str">
        <f>SUM(Q317:Q330)</f>
        <v>0</v>
      </c>
      <c r="R331" s="13" t="str">
        <f>SUM(R317:R330)</f>
        <v>0</v>
      </c>
      <c r="S331" s="13" t="str">
        <f>SUM(S317:S330)</f>
        <v>0</v>
      </c>
      <c r="T331" s="13" t="str">
        <f>SUM(T317:T330)</f>
        <v>0</v>
      </c>
      <c r="U331" s="13" t="str">
        <f>SUM(U317:U330)</f>
        <v>0</v>
      </c>
    </row>
    <row r="332" spans="1:41">
      <c r="A332"/>
      <c r="B332" s="14" t="s">
        <v>108</v>
      </c>
      <c r="C332" s="12" t="s">
        <v>16</v>
      </c>
      <c r="D332" s="5">
        <v>0</v>
      </c>
      <c r="E332" s="6">
        <v>0</v>
      </c>
      <c r="F332" s="7">
        <v>0</v>
      </c>
      <c r="G332" s="9">
        <v>0</v>
      </c>
      <c r="H332" s="10">
        <v>0</v>
      </c>
      <c r="I332" s="11">
        <v>0</v>
      </c>
      <c r="J332" s="5">
        <v>0</v>
      </c>
      <c r="K332" s="6">
        <v>0</v>
      </c>
      <c r="L332" s="7">
        <v>0</v>
      </c>
      <c r="M332" s="9">
        <v>0</v>
      </c>
      <c r="N332" s="10">
        <v>0</v>
      </c>
      <c r="O332" s="11">
        <v>0</v>
      </c>
      <c r="P332" s="5">
        <v>0</v>
      </c>
      <c r="Q332" s="6">
        <v>0</v>
      </c>
      <c r="R332" s="7">
        <v>0</v>
      </c>
      <c r="S332" s="9">
        <v>0</v>
      </c>
      <c r="T332" s="10">
        <v>0</v>
      </c>
      <c r="U332" s="11">
        <v>0</v>
      </c>
    </row>
    <row r="333" spans="1:41">
      <c r="A333"/>
      <c r="B333"/>
      <c r="C333" s="12" t="s">
        <v>18</v>
      </c>
      <c r="D333" s="5">
        <v>1</v>
      </c>
      <c r="E333" s="6">
        <v>26</v>
      </c>
      <c r="F333" s="7">
        <v>22</v>
      </c>
      <c r="G333" s="9">
        <v>1</v>
      </c>
      <c r="H333" s="10">
        <v>35</v>
      </c>
      <c r="I333" s="11">
        <v>24</v>
      </c>
      <c r="J333" s="5">
        <v>0.5</v>
      </c>
      <c r="K333" s="6">
        <v>17.05</v>
      </c>
      <c r="L333" s="7">
        <v>15.53</v>
      </c>
      <c r="M333" s="9">
        <v>0.25</v>
      </c>
      <c r="N333" s="10">
        <v>30.92</v>
      </c>
      <c r="O333" s="11">
        <v>15.23</v>
      </c>
      <c r="P333" s="5">
        <v>1</v>
      </c>
      <c r="Q333" s="6">
        <v>41</v>
      </c>
      <c r="R333" s="7">
        <v>35</v>
      </c>
      <c r="S333" s="9">
        <v>1</v>
      </c>
      <c r="T333" s="10">
        <v>68</v>
      </c>
      <c r="U333" s="11">
        <v>37</v>
      </c>
    </row>
    <row r="334" spans="1:41">
      <c r="A334"/>
      <c r="B334"/>
      <c r="C334" s="12" t="s">
        <v>20</v>
      </c>
      <c r="D334" s="5">
        <v>0</v>
      </c>
      <c r="E334" s="6">
        <v>0</v>
      </c>
      <c r="F334" s="7">
        <v>0</v>
      </c>
      <c r="G334" s="9">
        <v>0</v>
      </c>
      <c r="H334" s="10">
        <v>0</v>
      </c>
      <c r="I334" s="11">
        <v>0</v>
      </c>
      <c r="J334" s="5">
        <v>0</v>
      </c>
      <c r="K334" s="6">
        <v>0</v>
      </c>
      <c r="L334" s="7">
        <v>0</v>
      </c>
      <c r="M334" s="9">
        <v>0</v>
      </c>
      <c r="N334" s="10">
        <v>0</v>
      </c>
      <c r="O334" s="11">
        <v>0</v>
      </c>
      <c r="P334" s="5">
        <v>0</v>
      </c>
      <c r="Q334" s="6">
        <v>0</v>
      </c>
      <c r="R334" s="7">
        <v>0</v>
      </c>
      <c r="S334" s="9">
        <v>0</v>
      </c>
      <c r="T334" s="10">
        <v>0</v>
      </c>
      <c r="U334" s="11">
        <v>0</v>
      </c>
    </row>
    <row r="335" spans="1:41">
      <c r="A335"/>
      <c r="B335"/>
      <c r="C335" s="12" t="s">
        <v>37</v>
      </c>
      <c r="D335" s="5">
        <v>0</v>
      </c>
      <c r="E335" s="6">
        <v>0</v>
      </c>
      <c r="F335" s="7">
        <v>0</v>
      </c>
      <c r="G335" s="9">
        <v>0</v>
      </c>
      <c r="H335" s="10">
        <v>0</v>
      </c>
      <c r="I335" s="11">
        <v>0</v>
      </c>
      <c r="J335" s="5">
        <v>0</v>
      </c>
      <c r="K335" s="6">
        <v>0</v>
      </c>
      <c r="L335" s="7">
        <v>0</v>
      </c>
      <c r="M335" s="9">
        <v>0</v>
      </c>
      <c r="N335" s="10">
        <v>0</v>
      </c>
      <c r="O335" s="11">
        <v>0</v>
      </c>
      <c r="P335" s="5">
        <v>0</v>
      </c>
      <c r="Q335" s="6">
        <v>0</v>
      </c>
      <c r="R335" s="7">
        <v>0</v>
      </c>
      <c r="S335" s="9">
        <v>0</v>
      </c>
      <c r="T335" s="10">
        <v>0</v>
      </c>
      <c r="U335" s="11">
        <v>0</v>
      </c>
    </row>
    <row r="336" spans="1:41">
      <c r="A336"/>
      <c r="B336"/>
      <c r="C336" s="12" t="s">
        <v>32</v>
      </c>
      <c r="D336" s="5">
        <v>1</v>
      </c>
      <c r="E336" s="6">
        <v>79</v>
      </c>
      <c r="F336" s="7">
        <v>58</v>
      </c>
      <c r="G336" s="9">
        <v>4</v>
      </c>
      <c r="H336" s="10">
        <v>60</v>
      </c>
      <c r="I336" s="11">
        <v>34</v>
      </c>
      <c r="J336" s="5">
        <v>0.25</v>
      </c>
      <c r="K336" s="6">
        <v>44.63</v>
      </c>
      <c r="L336" s="7">
        <v>40.89</v>
      </c>
      <c r="M336" s="9">
        <v>1.18</v>
      </c>
      <c r="N336" s="10">
        <v>31.07</v>
      </c>
      <c r="O336" s="11">
        <v>21.46</v>
      </c>
      <c r="P336" s="5">
        <v>1</v>
      </c>
      <c r="Q336" s="6">
        <v>115</v>
      </c>
      <c r="R336" s="7">
        <v>97</v>
      </c>
      <c r="S336" s="9">
        <v>4</v>
      </c>
      <c r="T336" s="10">
        <v>79</v>
      </c>
      <c r="U336" s="11">
        <v>52</v>
      </c>
    </row>
    <row r="337" spans="1:41">
      <c r="A337"/>
      <c r="B337"/>
      <c r="C337" s="12" t="s">
        <v>22</v>
      </c>
      <c r="D337" s="5">
        <v>0</v>
      </c>
      <c r="E337" s="6">
        <v>0</v>
      </c>
      <c r="F337" s="7">
        <v>0</v>
      </c>
      <c r="G337" s="9">
        <v>0</v>
      </c>
      <c r="H337" s="10">
        <v>0</v>
      </c>
      <c r="I337" s="11">
        <v>0</v>
      </c>
      <c r="J337" s="5">
        <v>0</v>
      </c>
      <c r="K337" s="6">
        <v>0</v>
      </c>
      <c r="L337" s="7">
        <v>0</v>
      </c>
      <c r="M337" s="9">
        <v>0</v>
      </c>
      <c r="N337" s="10">
        <v>0</v>
      </c>
      <c r="O337" s="11">
        <v>0</v>
      </c>
      <c r="P337" s="5">
        <v>0</v>
      </c>
      <c r="Q337" s="6">
        <v>0</v>
      </c>
      <c r="R337" s="7">
        <v>0</v>
      </c>
      <c r="S337" s="9">
        <v>0</v>
      </c>
      <c r="T337" s="10">
        <v>0</v>
      </c>
      <c r="U337" s="11">
        <v>0</v>
      </c>
    </row>
    <row r="338" spans="1:41">
      <c r="C338" s="13" t="s">
        <v>26</v>
      </c>
      <c r="D338" s="13" t="str">
        <f>SUM(D332:D337)</f>
        <v>0</v>
      </c>
      <c r="E338" s="13" t="str">
        <f>SUM(E332:E337)</f>
        <v>0</v>
      </c>
      <c r="F338" s="13" t="str">
        <f>SUM(F332:F337)</f>
        <v>0</v>
      </c>
      <c r="G338" s="13" t="str">
        <f>SUM(G332:G337)</f>
        <v>0</v>
      </c>
      <c r="H338" s="13" t="str">
        <f>SUM(H332:H337)</f>
        <v>0</v>
      </c>
      <c r="I338" s="13" t="str">
        <f>SUM(I332:I337)</f>
        <v>0</v>
      </c>
      <c r="J338" s="13" t="str">
        <f>SUM(J332:J337)</f>
        <v>0</v>
      </c>
      <c r="K338" s="13" t="str">
        <f>SUM(K332:K337)</f>
        <v>0</v>
      </c>
      <c r="L338" s="13" t="str">
        <f>SUM(L332:L337)</f>
        <v>0</v>
      </c>
      <c r="M338" s="13" t="str">
        <f>SUM(M332:M337)</f>
        <v>0</v>
      </c>
      <c r="N338" s="13" t="str">
        <f>SUM(N332:N337)</f>
        <v>0</v>
      </c>
      <c r="O338" s="13" t="str">
        <f>SUM(O332:O337)</f>
        <v>0</v>
      </c>
      <c r="P338" s="13" t="str">
        <f>SUM(P332:P337)</f>
        <v>0</v>
      </c>
      <c r="Q338" s="13" t="str">
        <f>SUM(Q332:Q337)</f>
        <v>0</v>
      </c>
      <c r="R338" s="13" t="str">
        <f>SUM(R332:R337)</f>
        <v>0</v>
      </c>
      <c r="S338" s="13" t="str">
        <f>SUM(S332:S337)</f>
        <v>0</v>
      </c>
      <c r="T338" s="13" t="str">
        <f>SUM(T332:T337)</f>
        <v>0</v>
      </c>
      <c r="U338" s="13" t="str">
        <f>SUM(U332:U337)</f>
        <v>0</v>
      </c>
    </row>
    <row r="339" spans="1:41">
      <c r="A339"/>
      <c r="B339" s="14" t="s">
        <v>109</v>
      </c>
      <c r="C339" s="12" t="s">
        <v>17</v>
      </c>
      <c r="D339" s="5">
        <v>0</v>
      </c>
      <c r="E339" s="6">
        <v>0</v>
      </c>
      <c r="F339" s="7">
        <v>0</v>
      </c>
      <c r="G339" s="9">
        <v>0</v>
      </c>
      <c r="H339" s="10">
        <v>0</v>
      </c>
      <c r="I339" s="11">
        <v>0</v>
      </c>
      <c r="J339" s="5">
        <v>0</v>
      </c>
      <c r="K339" s="6">
        <v>0</v>
      </c>
      <c r="L339" s="7">
        <v>0</v>
      </c>
      <c r="M339" s="9">
        <v>0</v>
      </c>
      <c r="N339" s="10">
        <v>0</v>
      </c>
      <c r="O339" s="11">
        <v>0</v>
      </c>
      <c r="P339" s="5">
        <v>0</v>
      </c>
      <c r="Q339" s="6">
        <v>0</v>
      </c>
      <c r="R339" s="7">
        <v>0</v>
      </c>
      <c r="S339" s="9">
        <v>0</v>
      </c>
      <c r="T339" s="10">
        <v>0</v>
      </c>
      <c r="U339" s="11">
        <v>0</v>
      </c>
    </row>
    <row r="340" spans="1:41">
      <c r="A340"/>
      <c r="B340"/>
      <c r="C340" s="12" t="s">
        <v>18</v>
      </c>
      <c r="D340" s="5">
        <v>0</v>
      </c>
      <c r="E340" s="6">
        <v>0</v>
      </c>
      <c r="F340" s="7">
        <v>0</v>
      </c>
      <c r="G340" s="9">
        <v>0</v>
      </c>
      <c r="H340" s="10">
        <v>0</v>
      </c>
      <c r="I340" s="11">
        <v>0</v>
      </c>
      <c r="J340" s="5">
        <v>0</v>
      </c>
      <c r="K340" s="6">
        <v>0</v>
      </c>
      <c r="L340" s="7">
        <v>0</v>
      </c>
      <c r="M340" s="9">
        <v>0</v>
      </c>
      <c r="N340" s="10">
        <v>0</v>
      </c>
      <c r="O340" s="11">
        <v>0</v>
      </c>
      <c r="P340" s="5">
        <v>0</v>
      </c>
      <c r="Q340" s="6">
        <v>0</v>
      </c>
      <c r="R340" s="7">
        <v>0</v>
      </c>
      <c r="S340" s="9">
        <v>0</v>
      </c>
      <c r="T340" s="10">
        <v>0</v>
      </c>
      <c r="U340" s="11">
        <v>0</v>
      </c>
    </row>
    <row r="341" spans="1:41">
      <c r="A341"/>
      <c r="B341"/>
      <c r="C341" s="12" t="s">
        <v>20</v>
      </c>
      <c r="D341" s="5">
        <v>3</v>
      </c>
      <c r="E341" s="6">
        <v>122</v>
      </c>
      <c r="F341" s="7">
        <v>124</v>
      </c>
      <c r="G341" s="9">
        <v>3</v>
      </c>
      <c r="H341" s="10">
        <v>131</v>
      </c>
      <c r="I341" s="11">
        <v>99</v>
      </c>
      <c r="J341" s="5">
        <v>3</v>
      </c>
      <c r="K341" s="6">
        <v>135.6</v>
      </c>
      <c r="L341" s="7">
        <v>143.11</v>
      </c>
      <c r="M341" s="9">
        <v>4.5</v>
      </c>
      <c r="N341" s="10">
        <v>132.23</v>
      </c>
      <c r="O341" s="11">
        <v>103.97</v>
      </c>
      <c r="P341" s="5">
        <v>6</v>
      </c>
      <c r="Q341" s="6">
        <v>300</v>
      </c>
      <c r="R341" s="7">
        <v>315</v>
      </c>
      <c r="S341" s="9">
        <v>9</v>
      </c>
      <c r="T341" s="10">
        <v>304</v>
      </c>
      <c r="U341" s="11">
        <v>238</v>
      </c>
    </row>
    <row r="342" spans="1:41">
      <c r="A342"/>
      <c r="B342"/>
      <c r="C342" s="12" t="s">
        <v>37</v>
      </c>
      <c r="D342" s="5">
        <v>4</v>
      </c>
      <c r="E342" s="6">
        <v>55</v>
      </c>
      <c r="F342" s="7">
        <v>58</v>
      </c>
      <c r="G342" s="9">
        <v>1</v>
      </c>
      <c r="H342" s="10">
        <v>50</v>
      </c>
      <c r="I342" s="11">
        <v>47</v>
      </c>
      <c r="J342" s="5">
        <v>2.76</v>
      </c>
      <c r="K342" s="6">
        <v>40.94</v>
      </c>
      <c r="L342" s="7">
        <v>36.93</v>
      </c>
      <c r="M342" s="9">
        <v>0.25</v>
      </c>
      <c r="N342" s="10">
        <v>31.61</v>
      </c>
      <c r="O342" s="11">
        <v>35.81</v>
      </c>
      <c r="P342" s="5">
        <v>6</v>
      </c>
      <c r="Q342" s="6">
        <v>96</v>
      </c>
      <c r="R342" s="7">
        <v>87</v>
      </c>
      <c r="S342" s="9">
        <v>1</v>
      </c>
      <c r="T342" s="10">
        <v>78</v>
      </c>
      <c r="U342" s="11">
        <v>86</v>
      </c>
    </row>
    <row r="343" spans="1:41">
      <c r="A343"/>
      <c r="B343"/>
      <c r="C343" s="12" t="s">
        <v>32</v>
      </c>
      <c r="D343" s="5">
        <v>0</v>
      </c>
      <c r="E343" s="6">
        <v>0</v>
      </c>
      <c r="F343" s="7">
        <v>0</v>
      </c>
      <c r="G343" s="9">
        <v>0</v>
      </c>
      <c r="H343" s="10">
        <v>0</v>
      </c>
      <c r="I343" s="11">
        <v>0</v>
      </c>
      <c r="J343" s="5">
        <v>0</v>
      </c>
      <c r="K343" s="6">
        <v>0</v>
      </c>
      <c r="L343" s="7">
        <v>0</v>
      </c>
      <c r="M343" s="9">
        <v>0</v>
      </c>
      <c r="N343" s="10">
        <v>0</v>
      </c>
      <c r="O343" s="11">
        <v>0</v>
      </c>
      <c r="P343" s="5">
        <v>0</v>
      </c>
      <c r="Q343" s="6">
        <v>0</v>
      </c>
      <c r="R343" s="7">
        <v>0</v>
      </c>
      <c r="S343" s="9">
        <v>0</v>
      </c>
      <c r="T343" s="10">
        <v>0</v>
      </c>
      <c r="U343" s="11">
        <v>0</v>
      </c>
    </row>
    <row r="344" spans="1:41">
      <c r="A344"/>
      <c r="B344"/>
      <c r="C344" s="12" t="s">
        <v>35</v>
      </c>
      <c r="D344" s="5">
        <v>0</v>
      </c>
      <c r="E344" s="6">
        <v>0</v>
      </c>
      <c r="F344" s="7">
        <v>0</v>
      </c>
      <c r="G344" s="9">
        <v>0</v>
      </c>
      <c r="H344" s="10">
        <v>0</v>
      </c>
      <c r="I344" s="11">
        <v>0</v>
      </c>
      <c r="J344" s="5">
        <v>0</v>
      </c>
      <c r="K344" s="6">
        <v>0</v>
      </c>
      <c r="L344" s="7">
        <v>0</v>
      </c>
      <c r="M344" s="9">
        <v>0</v>
      </c>
      <c r="N344" s="10">
        <v>0</v>
      </c>
      <c r="O344" s="11">
        <v>0</v>
      </c>
      <c r="P344" s="5">
        <v>0</v>
      </c>
      <c r="Q344" s="6">
        <v>0</v>
      </c>
      <c r="R344" s="7">
        <v>0</v>
      </c>
      <c r="S344" s="9">
        <v>0</v>
      </c>
      <c r="T344" s="10">
        <v>0</v>
      </c>
      <c r="U344" s="11">
        <v>0</v>
      </c>
    </row>
    <row r="345" spans="1:41">
      <c r="C345" s="13" t="s">
        <v>26</v>
      </c>
      <c r="D345" s="13" t="str">
        <f>SUM(D339:D344)</f>
        <v>0</v>
      </c>
      <c r="E345" s="13" t="str">
        <f>SUM(E339:E344)</f>
        <v>0</v>
      </c>
      <c r="F345" s="13" t="str">
        <f>SUM(F339:F344)</f>
        <v>0</v>
      </c>
      <c r="G345" s="13" t="str">
        <f>SUM(G339:G344)</f>
        <v>0</v>
      </c>
      <c r="H345" s="13" t="str">
        <f>SUM(H339:H344)</f>
        <v>0</v>
      </c>
      <c r="I345" s="13" t="str">
        <f>SUM(I339:I344)</f>
        <v>0</v>
      </c>
      <c r="J345" s="13" t="str">
        <f>SUM(J339:J344)</f>
        <v>0</v>
      </c>
      <c r="K345" s="13" t="str">
        <f>SUM(K339:K344)</f>
        <v>0</v>
      </c>
      <c r="L345" s="13" t="str">
        <f>SUM(L339:L344)</f>
        <v>0</v>
      </c>
      <c r="M345" s="13" t="str">
        <f>SUM(M339:M344)</f>
        <v>0</v>
      </c>
      <c r="N345" s="13" t="str">
        <f>SUM(N339:N344)</f>
        <v>0</v>
      </c>
      <c r="O345" s="13" t="str">
        <f>SUM(O339:O344)</f>
        <v>0</v>
      </c>
      <c r="P345" s="13" t="str">
        <f>SUM(P339:P344)</f>
        <v>0</v>
      </c>
      <c r="Q345" s="13" t="str">
        <f>SUM(Q339:Q344)</f>
        <v>0</v>
      </c>
      <c r="R345" s="13" t="str">
        <f>SUM(R339:R344)</f>
        <v>0</v>
      </c>
      <c r="S345" s="13" t="str">
        <f>SUM(S339:S344)</f>
        <v>0</v>
      </c>
      <c r="T345" s="13" t="str">
        <f>SUM(T339:T344)</f>
        <v>0</v>
      </c>
      <c r="U345" s="13" t="str">
        <f>SUM(U339:U344)</f>
        <v>0</v>
      </c>
    </row>
    <row r="346" spans="1:41">
      <c r="A346" s="9" t="s">
        <v>110</v>
      </c>
      <c r="B346" s="11" t="s">
        <v>111</v>
      </c>
      <c r="C346" s="12" t="s">
        <v>30</v>
      </c>
      <c r="D346" s="5">
        <v>0</v>
      </c>
      <c r="E346" s="6">
        <v>6</v>
      </c>
      <c r="F346" s="7">
        <v>6</v>
      </c>
      <c r="G346" s="9">
        <v>0</v>
      </c>
      <c r="H346" s="10">
        <v>4</v>
      </c>
      <c r="I346" s="11">
        <v>9</v>
      </c>
      <c r="J346" s="5">
        <v>0</v>
      </c>
      <c r="K346" s="6">
        <v>5.75</v>
      </c>
      <c r="L346" s="7">
        <v>6.75</v>
      </c>
      <c r="M346" s="9">
        <v>0</v>
      </c>
      <c r="N346" s="10">
        <v>3</v>
      </c>
      <c r="O346" s="11">
        <v>8</v>
      </c>
      <c r="P346" s="5">
        <v>0</v>
      </c>
      <c r="Q346" s="6">
        <v>12</v>
      </c>
      <c r="R346" s="7">
        <v>14</v>
      </c>
      <c r="S346" s="9">
        <v>0</v>
      </c>
      <c r="T346" s="10">
        <v>6</v>
      </c>
      <c r="U346" s="11">
        <v>18</v>
      </c>
    </row>
    <row r="347" spans="1:41">
      <c r="A347"/>
      <c r="B347"/>
      <c r="C347" s="12" t="s">
        <v>16</v>
      </c>
      <c r="D347" s="5">
        <v>5</v>
      </c>
      <c r="E347" s="6">
        <v>132</v>
      </c>
      <c r="F347" s="7">
        <v>72</v>
      </c>
      <c r="G347" s="9">
        <v>3</v>
      </c>
      <c r="H347" s="10">
        <v>113</v>
      </c>
      <c r="I347" s="11">
        <v>65</v>
      </c>
      <c r="J347" s="5">
        <v>10.5</v>
      </c>
      <c r="K347" s="6">
        <v>171.18</v>
      </c>
      <c r="L347" s="7">
        <v>99.3</v>
      </c>
      <c r="M347" s="9">
        <v>2.1</v>
      </c>
      <c r="N347" s="10">
        <v>111.49</v>
      </c>
      <c r="O347" s="11">
        <v>80.91</v>
      </c>
      <c r="P347" s="5">
        <v>21</v>
      </c>
      <c r="Q347" s="6">
        <v>357</v>
      </c>
      <c r="R347" s="7">
        <v>206</v>
      </c>
      <c r="S347" s="9">
        <v>5</v>
      </c>
      <c r="T347" s="10">
        <v>242</v>
      </c>
      <c r="U347" s="11">
        <v>169</v>
      </c>
    </row>
    <row r="348" spans="1:41">
      <c r="A348"/>
      <c r="B348"/>
      <c r="C348" s="12" t="s">
        <v>17</v>
      </c>
      <c r="D348" s="5">
        <v>13</v>
      </c>
      <c r="E348" s="6">
        <v>207</v>
      </c>
      <c r="F348" s="7">
        <v>117</v>
      </c>
      <c r="G348" s="9">
        <v>4</v>
      </c>
      <c r="H348" s="10">
        <v>176</v>
      </c>
      <c r="I348" s="11">
        <v>94</v>
      </c>
      <c r="J348" s="5">
        <v>10.28</v>
      </c>
      <c r="K348" s="6">
        <v>211.01</v>
      </c>
      <c r="L348" s="7">
        <v>119.63</v>
      </c>
      <c r="M348" s="9">
        <v>3.4</v>
      </c>
      <c r="N348" s="10">
        <v>144.19</v>
      </c>
      <c r="O348" s="11">
        <v>83.09</v>
      </c>
      <c r="P348" s="5">
        <v>22</v>
      </c>
      <c r="Q348" s="6">
        <v>454</v>
      </c>
      <c r="R348" s="7">
        <v>262</v>
      </c>
      <c r="S348" s="9">
        <v>7</v>
      </c>
      <c r="T348" s="10">
        <v>320</v>
      </c>
      <c r="U348" s="11">
        <v>180</v>
      </c>
    </row>
    <row r="349" spans="1:41">
      <c r="A349"/>
      <c r="B349"/>
      <c r="C349" s="12" t="s">
        <v>20</v>
      </c>
      <c r="D349" s="5">
        <v>40</v>
      </c>
      <c r="E349" s="6">
        <v>586</v>
      </c>
      <c r="F349" s="7">
        <v>313</v>
      </c>
      <c r="G349" s="9">
        <v>18</v>
      </c>
      <c r="H349" s="10">
        <v>439</v>
      </c>
      <c r="I349" s="11">
        <v>267</v>
      </c>
      <c r="J349" s="5">
        <v>40.99</v>
      </c>
      <c r="K349" s="6">
        <v>525.31</v>
      </c>
      <c r="L349" s="7">
        <v>279.08</v>
      </c>
      <c r="M349" s="9">
        <v>13.99</v>
      </c>
      <c r="N349" s="10">
        <v>320.96</v>
      </c>
      <c r="O349" s="11">
        <v>193.2</v>
      </c>
      <c r="P349" s="5">
        <v>86</v>
      </c>
      <c r="Q349" s="6">
        <v>1140</v>
      </c>
      <c r="R349" s="7">
        <v>625</v>
      </c>
      <c r="S349" s="9">
        <v>31</v>
      </c>
      <c r="T349" s="10">
        <v>713</v>
      </c>
      <c r="U349" s="11">
        <v>447</v>
      </c>
    </row>
    <row r="350" spans="1:41">
      <c r="A350"/>
      <c r="B350"/>
      <c r="C350" s="12" t="s">
        <v>37</v>
      </c>
      <c r="D350" s="5">
        <v>13</v>
      </c>
      <c r="E350" s="6">
        <v>200</v>
      </c>
      <c r="F350" s="7">
        <v>102</v>
      </c>
      <c r="G350" s="9">
        <v>9</v>
      </c>
      <c r="H350" s="10">
        <v>132</v>
      </c>
      <c r="I350" s="11">
        <v>63</v>
      </c>
      <c r="J350" s="5">
        <v>10.37</v>
      </c>
      <c r="K350" s="6">
        <v>183.69</v>
      </c>
      <c r="L350" s="7">
        <v>91.93</v>
      </c>
      <c r="M350" s="9">
        <v>8.35</v>
      </c>
      <c r="N350" s="10">
        <v>96.52</v>
      </c>
      <c r="O350" s="11">
        <v>46.52</v>
      </c>
      <c r="P350" s="5">
        <v>22</v>
      </c>
      <c r="Q350" s="6">
        <v>395</v>
      </c>
      <c r="R350" s="7">
        <v>198</v>
      </c>
      <c r="S350" s="9">
        <v>18</v>
      </c>
      <c r="T350" s="10">
        <v>212</v>
      </c>
      <c r="U350" s="11">
        <v>104</v>
      </c>
    </row>
    <row r="351" spans="1:41">
      <c r="A351"/>
      <c r="B351"/>
      <c r="C351" s="12" t="s">
        <v>23</v>
      </c>
      <c r="D351" s="5">
        <v>0</v>
      </c>
      <c r="E351" s="6">
        <v>0</v>
      </c>
      <c r="F351" s="7">
        <v>0</v>
      </c>
      <c r="G351" s="9">
        <v>0</v>
      </c>
      <c r="H351" s="10">
        <v>0</v>
      </c>
      <c r="I351" s="11">
        <v>0</v>
      </c>
      <c r="J351" s="5">
        <v>0</v>
      </c>
      <c r="K351" s="6">
        <v>0</v>
      </c>
      <c r="L351" s="7">
        <v>0</v>
      </c>
      <c r="M351" s="9">
        <v>0</v>
      </c>
      <c r="N351" s="10">
        <v>0</v>
      </c>
      <c r="O351" s="11">
        <v>0</v>
      </c>
      <c r="P351" s="5">
        <v>0</v>
      </c>
      <c r="Q351" s="6">
        <v>0</v>
      </c>
      <c r="R351" s="7">
        <v>0</v>
      </c>
      <c r="S351" s="9">
        <v>0</v>
      </c>
      <c r="T351" s="10">
        <v>0</v>
      </c>
      <c r="U351" s="11">
        <v>0</v>
      </c>
    </row>
    <row r="352" spans="1:41">
      <c r="C352" s="13" t="s">
        <v>26</v>
      </c>
      <c r="D352" s="13" t="str">
        <f>SUM(D346:D351)</f>
        <v>0</v>
      </c>
      <c r="E352" s="13" t="str">
        <f>SUM(E346:E351)</f>
        <v>0</v>
      </c>
      <c r="F352" s="13" t="str">
        <f>SUM(F346:F351)</f>
        <v>0</v>
      </c>
      <c r="G352" s="13" t="str">
        <f>SUM(G346:G351)</f>
        <v>0</v>
      </c>
      <c r="H352" s="13" t="str">
        <f>SUM(H346:H351)</f>
        <v>0</v>
      </c>
      <c r="I352" s="13" t="str">
        <f>SUM(I346:I351)</f>
        <v>0</v>
      </c>
      <c r="J352" s="13" t="str">
        <f>SUM(J346:J351)</f>
        <v>0</v>
      </c>
      <c r="K352" s="13" t="str">
        <f>SUM(K346:K351)</f>
        <v>0</v>
      </c>
      <c r="L352" s="13" t="str">
        <f>SUM(L346:L351)</f>
        <v>0</v>
      </c>
      <c r="M352" s="13" t="str">
        <f>SUM(M346:M351)</f>
        <v>0</v>
      </c>
      <c r="N352" s="13" t="str">
        <f>SUM(N346:N351)</f>
        <v>0</v>
      </c>
      <c r="O352" s="13" t="str">
        <f>SUM(O346:O351)</f>
        <v>0</v>
      </c>
      <c r="P352" s="13" t="str">
        <f>SUM(P346:P351)</f>
        <v>0</v>
      </c>
      <c r="Q352" s="13" t="str">
        <f>SUM(Q346:Q351)</f>
        <v>0</v>
      </c>
      <c r="R352" s="13" t="str">
        <f>SUM(R346:R351)</f>
        <v>0</v>
      </c>
      <c r="S352" s="13" t="str">
        <f>SUM(S346:S351)</f>
        <v>0</v>
      </c>
      <c r="T352" s="13" t="str">
        <f>SUM(T346:T351)</f>
        <v>0</v>
      </c>
      <c r="U352" s="13" t="str">
        <f>SUM(U346:U351)</f>
        <v>0</v>
      </c>
    </row>
    <row r="353" spans="1:41">
      <c r="A353"/>
      <c r="B353" s="14" t="s">
        <v>112</v>
      </c>
      <c r="C353" s="12" t="s">
        <v>30</v>
      </c>
      <c r="D353" s="5">
        <v>11</v>
      </c>
      <c r="E353" s="6">
        <v>246</v>
      </c>
      <c r="F353" s="7">
        <v>154</v>
      </c>
      <c r="G353" s="9">
        <v>6</v>
      </c>
      <c r="H353" s="10">
        <v>202</v>
      </c>
      <c r="I353" s="11">
        <v>151</v>
      </c>
      <c r="J353" s="5">
        <v>17.27</v>
      </c>
      <c r="K353" s="6">
        <v>345.81</v>
      </c>
      <c r="L353" s="7">
        <v>215.66</v>
      </c>
      <c r="M353" s="9">
        <v>7.89</v>
      </c>
      <c r="N353" s="10">
        <v>270.93</v>
      </c>
      <c r="O353" s="11">
        <v>190.7</v>
      </c>
      <c r="P353" s="5">
        <v>36</v>
      </c>
      <c r="Q353" s="6">
        <v>734</v>
      </c>
      <c r="R353" s="7">
        <v>464</v>
      </c>
      <c r="S353" s="9">
        <v>18</v>
      </c>
      <c r="T353" s="10">
        <v>580</v>
      </c>
      <c r="U353" s="11">
        <v>413</v>
      </c>
    </row>
    <row r="354" spans="1:41">
      <c r="A354"/>
      <c r="B354"/>
      <c r="C354" s="12" t="s">
        <v>43</v>
      </c>
      <c r="D354" s="5">
        <v>10</v>
      </c>
      <c r="E354" s="6">
        <v>188</v>
      </c>
      <c r="F354" s="7">
        <v>110</v>
      </c>
      <c r="G354" s="9">
        <v>4</v>
      </c>
      <c r="H354" s="10">
        <v>171</v>
      </c>
      <c r="I354" s="11">
        <v>96</v>
      </c>
      <c r="J354" s="5">
        <v>10.75</v>
      </c>
      <c r="K354" s="6">
        <v>194.47</v>
      </c>
      <c r="L354" s="7">
        <v>109.65</v>
      </c>
      <c r="M354" s="9">
        <v>4.5</v>
      </c>
      <c r="N354" s="10">
        <v>159.45</v>
      </c>
      <c r="O354" s="11">
        <v>110.56</v>
      </c>
      <c r="P354" s="5">
        <v>22</v>
      </c>
      <c r="Q354" s="6">
        <v>428</v>
      </c>
      <c r="R354" s="7">
        <v>241</v>
      </c>
      <c r="S354" s="9">
        <v>10</v>
      </c>
      <c r="T354" s="10">
        <v>352</v>
      </c>
      <c r="U354" s="11">
        <v>242</v>
      </c>
    </row>
    <row r="355" spans="1:41">
      <c r="A355"/>
      <c r="B355"/>
      <c r="C355" s="12" t="s">
        <v>17</v>
      </c>
      <c r="D355" s="5">
        <v>42</v>
      </c>
      <c r="E355" s="6">
        <v>684</v>
      </c>
      <c r="F355" s="7">
        <v>429</v>
      </c>
      <c r="G355" s="9">
        <v>33</v>
      </c>
      <c r="H355" s="10">
        <v>752</v>
      </c>
      <c r="I355" s="11">
        <v>557</v>
      </c>
      <c r="J355" s="5">
        <v>68.82</v>
      </c>
      <c r="K355" s="6">
        <v>1039.67</v>
      </c>
      <c r="L355" s="7">
        <v>683.58</v>
      </c>
      <c r="M355" s="9">
        <v>54.4</v>
      </c>
      <c r="N355" s="10">
        <v>1082.23</v>
      </c>
      <c r="O355" s="11">
        <v>772.56</v>
      </c>
      <c r="P355" s="5">
        <v>143</v>
      </c>
      <c r="Q355" s="6">
        <v>2208</v>
      </c>
      <c r="R355" s="7">
        <v>1442</v>
      </c>
      <c r="S355" s="9">
        <v>113</v>
      </c>
      <c r="T355" s="10">
        <v>2288</v>
      </c>
      <c r="U355" s="11">
        <v>1656</v>
      </c>
    </row>
    <row r="356" spans="1:41">
      <c r="A356"/>
      <c r="B356"/>
      <c r="C356" s="12" t="s">
        <v>20</v>
      </c>
      <c r="D356" s="5">
        <v>161</v>
      </c>
      <c r="E356" s="6">
        <v>2425</v>
      </c>
      <c r="F356" s="7">
        <v>1224</v>
      </c>
      <c r="G356" s="9">
        <v>109</v>
      </c>
      <c r="H356" s="10">
        <v>2405</v>
      </c>
      <c r="I356" s="11">
        <v>1436</v>
      </c>
      <c r="J356" s="5">
        <v>198.81</v>
      </c>
      <c r="K356" s="6">
        <v>3136.38</v>
      </c>
      <c r="L356" s="7">
        <v>1694.09</v>
      </c>
      <c r="M356" s="9">
        <v>126.94</v>
      </c>
      <c r="N356" s="10">
        <v>2828.92</v>
      </c>
      <c r="O356" s="11">
        <v>1753.85</v>
      </c>
      <c r="P356" s="5">
        <v>414</v>
      </c>
      <c r="Q356" s="6">
        <v>6611</v>
      </c>
      <c r="R356" s="7">
        <v>3556</v>
      </c>
      <c r="S356" s="9">
        <v>267</v>
      </c>
      <c r="T356" s="10">
        <v>6006</v>
      </c>
      <c r="U356" s="11">
        <v>3733</v>
      </c>
    </row>
    <row r="357" spans="1:41">
      <c r="A357"/>
      <c r="B357"/>
      <c r="C357" s="12" t="s">
        <v>37</v>
      </c>
      <c r="D357" s="5">
        <v>48</v>
      </c>
      <c r="E357" s="6">
        <v>867</v>
      </c>
      <c r="F357" s="7">
        <v>514</v>
      </c>
      <c r="G357" s="9">
        <v>43</v>
      </c>
      <c r="H357" s="10">
        <v>862</v>
      </c>
      <c r="I357" s="11">
        <v>536</v>
      </c>
      <c r="J357" s="5">
        <v>54.07</v>
      </c>
      <c r="K357" s="6">
        <v>967.01</v>
      </c>
      <c r="L357" s="7">
        <v>630.5</v>
      </c>
      <c r="M357" s="9">
        <v>41.41</v>
      </c>
      <c r="N357" s="10">
        <v>863</v>
      </c>
      <c r="O357" s="11">
        <v>627.5</v>
      </c>
      <c r="P357" s="5">
        <v>113</v>
      </c>
      <c r="Q357" s="6">
        <v>2037</v>
      </c>
      <c r="R357" s="7">
        <v>1327</v>
      </c>
      <c r="S357" s="9">
        <v>88</v>
      </c>
      <c r="T357" s="10">
        <v>1848</v>
      </c>
      <c r="U357" s="11">
        <v>1338</v>
      </c>
    </row>
    <row r="358" spans="1:41">
      <c r="A358"/>
      <c r="B358"/>
      <c r="C358" s="12" t="s">
        <v>23</v>
      </c>
      <c r="D358" s="5">
        <v>30</v>
      </c>
      <c r="E358" s="6">
        <v>336</v>
      </c>
      <c r="F358" s="7">
        <v>246</v>
      </c>
      <c r="G358" s="9">
        <v>10</v>
      </c>
      <c r="H358" s="10">
        <v>396</v>
      </c>
      <c r="I358" s="11">
        <v>308</v>
      </c>
      <c r="J358" s="5">
        <v>26.56</v>
      </c>
      <c r="K358" s="6">
        <v>402.75</v>
      </c>
      <c r="L358" s="7">
        <v>328.43</v>
      </c>
      <c r="M358" s="9">
        <v>12.9</v>
      </c>
      <c r="N358" s="10">
        <v>452.04</v>
      </c>
      <c r="O358" s="11">
        <v>363.81</v>
      </c>
      <c r="P358" s="5">
        <v>60</v>
      </c>
      <c r="Q358" s="6">
        <v>859</v>
      </c>
      <c r="R358" s="7">
        <v>698</v>
      </c>
      <c r="S358" s="9">
        <v>27</v>
      </c>
      <c r="T358" s="10">
        <v>972</v>
      </c>
      <c r="U358" s="11">
        <v>790</v>
      </c>
    </row>
    <row r="359" spans="1:41">
      <c r="A359"/>
      <c r="B359"/>
      <c r="C359" s="12" t="s">
        <v>38</v>
      </c>
      <c r="D359" s="5">
        <v>4</v>
      </c>
      <c r="E359" s="6">
        <v>45</v>
      </c>
      <c r="F359" s="7">
        <v>5</v>
      </c>
      <c r="G359" s="9">
        <v>3</v>
      </c>
      <c r="H359" s="10">
        <v>32</v>
      </c>
      <c r="I359" s="11">
        <v>7</v>
      </c>
      <c r="J359" s="5">
        <v>5</v>
      </c>
      <c r="K359" s="6">
        <v>63.15</v>
      </c>
      <c r="L359" s="7">
        <v>6.5</v>
      </c>
      <c r="M359" s="9">
        <v>4</v>
      </c>
      <c r="N359" s="10">
        <v>40.2</v>
      </c>
      <c r="O359" s="11">
        <v>11.7</v>
      </c>
      <c r="P359" s="5">
        <v>10</v>
      </c>
      <c r="Q359" s="6">
        <v>130</v>
      </c>
      <c r="R359" s="7">
        <v>13</v>
      </c>
      <c r="S359" s="9">
        <v>8</v>
      </c>
      <c r="T359" s="10">
        <v>81</v>
      </c>
      <c r="U359" s="11">
        <v>24</v>
      </c>
    </row>
    <row r="360" spans="1:41">
      <c r="C360" s="13" t="s">
        <v>26</v>
      </c>
      <c r="D360" s="13" t="str">
        <f>SUM(D353:D359)</f>
        <v>0</v>
      </c>
      <c r="E360" s="13" t="str">
        <f>SUM(E353:E359)</f>
        <v>0</v>
      </c>
      <c r="F360" s="13" t="str">
        <f>SUM(F353:F359)</f>
        <v>0</v>
      </c>
      <c r="G360" s="13" t="str">
        <f>SUM(G353:G359)</f>
        <v>0</v>
      </c>
      <c r="H360" s="13" t="str">
        <f>SUM(H353:H359)</f>
        <v>0</v>
      </c>
      <c r="I360" s="13" t="str">
        <f>SUM(I353:I359)</f>
        <v>0</v>
      </c>
      <c r="J360" s="13" t="str">
        <f>SUM(J353:J359)</f>
        <v>0</v>
      </c>
      <c r="K360" s="13" t="str">
        <f>SUM(K353:K359)</f>
        <v>0</v>
      </c>
      <c r="L360" s="13" t="str">
        <f>SUM(L353:L359)</f>
        <v>0</v>
      </c>
      <c r="M360" s="13" t="str">
        <f>SUM(M353:M359)</f>
        <v>0</v>
      </c>
      <c r="N360" s="13" t="str">
        <f>SUM(N353:N359)</f>
        <v>0</v>
      </c>
      <c r="O360" s="13" t="str">
        <f>SUM(O353:O359)</f>
        <v>0</v>
      </c>
      <c r="P360" s="13" t="str">
        <f>SUM(P353:P359)</f>
        <v>0</v>
      </c>
      <c r="Q360" s="13" t="str">
        <f>SUM(Q353:Q359)</f>
        <v>0</v>
      </c>
      <c r="R360" s="13" t="str">
        <f>SUM(R353:R359)</f>
        <v>0</v>
      </c>
      <c r="S360" s="13" t="str">
        <f>SUM(S353:S359)</f>
        <v>0</v>
      </c>
      <c r="T360" s="13" t="str">
        <f>SUM(T353:T359)</f>
        <v>0</v>
      </c>
      <c r="U360" s="13" t="str">
        <f>SUM(U353:U359)</f>
        <v>0</v>
      </c>
    </row>
    <row r="361" spans="1:41">
      <c r="A361"/>
      <c r="B361" s="14" t="s">
        <v>113</v>
      </c>
      <c r="C361" s="12" t="s">
        <v>30</v>
      </c>
      <c r="D361" s="5">
        <v>8</v>
      </c>
      <c r="E361" s="6">
        <v>92</v>
      </c>
      <c r="F361" s="7">
        <v>48</v>
      </c>
      <c r="G361" s="9">
        <v>2</v>
      </c>
      <c r="H361" s="10">
        <v>73</v>
      </c>
      <c r="I361" s="11">
        <v>52</v>
      </c>
      <c r="J361" s="5">
        <v>15.9</v>
      </c>
      <c r="K361" s="6">
        <v>124.1</v>
      </c>
      <c r="L361" s="7">
        <v>62.05</v>
      </c>
      <c r="M361" s="9">
        <v>3.25</v>
      </c>
      <c r="N361" s="10">
        <v>86.35</v>
      </c>
      <c r="O361" s="11">
        <v>75.22</v>
      </c>
      <c r="P361" s="5">
        <v>33</v>
      </c>
      <c r="Q361" s="6">
        <v>262</v>
      </c>
      <c r="R361" s="7">
        <v>133</v>
      </c>
      <c r="S361" s="9">
        <v>7</v>
      </c>
      <c r="T361" s="10">
        <v>182</v>
      </c>
      <c r="U361" s="11">
        <v>157</v>
      </c>
    </row>
    <row r="362" spans="1:41">
      <c r="A362"/>
      <c r="B362"/>
      <c r="C362" s="12" t="s">
        <v>16</v>
      </c>
      <c r="D362" s="5">
        <v>3</v>
      </c>
      <c r="E362" s="6">
        <v>8</v>
      </c>
      <c r="F362" s="7">
        <v>2</v>
      </c>
      <c r="G362" s="9">
        <v>0</v>
      </c>
      <c r="H362" s="10">
        <v>6</v>
      </c>
      <c r="I362" s="11">
        <v>1</v>
      </c>
      <c r="J362" s="5">
        <v>7.22</v>
      </c>
      <c r="K362" s="6">
        <v>17.65</v>
      </c>
      <c r="L362" s="7">
        <v>1.84</v>
      </c>
      <c r="M362" s="9">
        <v>0</v>
      </c>
      <c r="N362" s="10">
        <v>16.5</v>
      </c>
      <c r="O362" s="11">
        <v>1.1</v>
      </c>
      <c r="P362" s="5">
        <v>15</v>
      </c>
      <c r="Q362" s="6">
        <v>36</v>
      </c>
      <c r="R362" s="7">
        <v>5</v>
      </c>
      <c r="S362" s="9">
        <v>0</v>
      </c>
      <c r="T362" s="10">
        <v>33</v>
      </c>
      <c r="U362" s="11">
        <v>3</v>
      </c>
    </row>
    <row r="363" spans="1:41">
      <c r="A363"/>
      <c r="B363"/>
      <c r="C363" s="12" t="s">
        <v>17</v>
      </c>
      <c r="D363" s="5">
        <v>15</v>
      </c>
      <c r="E363" s="6">
        <v>218</v>
      </c>
      <c r="F363" s="7">
        <v>104</v>
      </c>
      <c r="G363" s="9">
        <v>12</v>
      </c>
      <c r="H363" s="10">
        <v>191</v>
      </c>
      <c r="I363" s="11">
        <v>121</v>
      </c>
      <c r="J363" s="5">
        <v>14.05</v>
      </c>
      <c r="K363" s="6">
        <v>286</v>
      </c>
      <c r="L363" s="7">
        <v>135.93</v>
      </c>
      <c r="M363" s="9">
        <v>10.25</v>
      </c>
      <c r="N363" s="10">
        <v>257.67</v>
      </c>
      <c r="O363" s="11">
        <v>157.57</v>
      </c>
      <c r="P363" s="5">
        <v>30</v>
      </c>
      <c r="Q363" s="6">
        <v>608</v>
      </c>
      <c r="R363" s="7">
        <v>289</v>
      </c>
      <c r="S363" s="9">
        <v>21</v>
      </c>
      <c r="T363" s="10">
        <v>543</v>
      </c>
      <c r="U363" s="11">
        <v>336</v>
      </c>
    </row>
    <row r="364" spans="1:41">
      <c r="A364"/>
      <c r="B364"/>
      <c r="C364" s="12" t="s">
        <v>20</v>
      </c>
      <c r="D364" s="5">
        <v>18</v>
      </c>
      <c r="E364" s="6">
        <v>194</v>
      </c>
      <c r="F364" s="7">
        <v>68</v>
      </c>
      <c r="G364" s="9">
        <v>10</v>
      </c>
      <c r="H364" s="10">
        <v>117</v>
      </c>
      <c r="I364" s="11">
        <v>52</v>
      </c>
      <c r="J364" s="5">
        <v>33.8</v>
      </c>
      <c r="K364" s="6">
        <v>246.16</v>
      </c>
      <c r="L364" s="7">
        <v>95.6</v>
      </c>
      <c r="M364" s="9">
        <v>15.35</v>
      </c>
      <c r="N364" s="10">
        <v>175.67</v>
      </c>
      <c r="O364" s="11">
        <v>70.29</v>
      </c>
      <c r="P364" s="5">
        <v>68</v>
      </c>
      <c r="Q364" s="6">
        <v>506</v>
      </c>
      <c r="R364" s="7">
        <v>196</v>
      </c>
      <c r="S364" s="9">
        <v>32</v>
      </c>
      <c r="T364" s="10">
        <v>358</v>
      </c>
      <c r="U364" s="11">
        <v>146</v>
      </c>
    </row>
    <row r="365" spans="1:41">
      <c r="A365"/>
      <c r="B365"/>
      <c r="C365" s="12" t="s">
        <v>37</v>
      </c>
      <c r="D365" s="5">
        <v>8</v>
      </c>
      <c r="E365" s="6">
        <v>133</v>
      </c>
      <c r="F365" s="7">
        <v>79</v>
      </c>
      <c r="G365" s="9">
        <v>1</v>
      </c>
      <c r="H365" s="10">
        <v>123</v>
      </c>
      <c r="I365" s="11">
        <v>60</v>
      </c>
      <c r="J365" s="5">
        <v>9.75</v>
      </c>
      <c r="K365" s="6">
        <v>165.65</v>
      </c>
      <c r="L365" s="7">
        <v>104.79</v>
      </c>
      <c r="M365" s="9">
        <v>0.25</v>
      </c>
      <c r="N365" s="10">
        <v>156.31</v>
      </c>
      <c r="O365" s="11">
        <v>73.33</v>
      </c>
      <c r="P365" s="5">
        <v>20</v>
      </c>
      <c r="Q365" s="6">
        <v>353</v>
      </c>
      <c r="R365" s="7">
        <v>219</v>
      </c>
      <c r="S365" s="9">
        <v>1</v>
      </c>
      <c r="T365" s="10">
        <v>330</v>
      </c>
      <c r="U365" s="11">
        <v>154</v>
      </c>
    </row>
    <row r="366" spans="1:41">
      <c r="A366"/>
      <c r="B366"/>
      <c r="C366" s="12" t="s">
        <v>22</v>
      </c>
      <c r="D366" s="5">
        <v>0</v>
      </c>
      <c r="E366" s="6">
        <v>1</v>
      </c>
      <c r="F366" s="7">
        <v>0</v>
      </c>
      <c r="G366" s="9">
        <v>0</v>
      </c>
      <c r="H366" s="10">
        <v>2</v>
      </c>
      <c r="I366" s="11">
        <v>1</v>
      </c>
      <c r="J366" s="5">
        <v>0</v>
      </c>
      <c r="K366" s="6">
        <v>2</v>
      </c>
      <c r="L366" s="7">
        <v>0</v>
      </c>
      <c r="M366" s="9">
        <v>0</v>
      </c>
      <c r="N366" s="10">
        <v>4</v>
      </c>
      <c r="O366" s="11">
        <v>1.5</v>
      </c>
      <c r="P366" s="5">
        <v>0</v>
      </c>
      <c r="Q366" s="6">
        <v>4</v>
      </c>
      <c r="R366" s="7">
        <v>0</v>
      </c>
      <c r="S366" s="9">
        <v>0</v>
      </c>
      <c r="T366" s="10">
        <v>8</v>
      </c>
      <c r="U366" s="11">
        <v>3</v>
      </c>
    </row>
    <row r="367" spans="1:41">
      <c r="A367"/>
      <c r="B367"/>
      <c r="C367" s="12" t="s">
        <v>23</v>
      </c>
      <c r="D367" s="5">
        <v>7</v>
      </c>
      <c r="E367" s="6">
        <v>198</v>
      </c>
      <c r="F367" s="7">
        <v>76</v>
      </c>
      <c r="G367" s="9">
        <v>7</v>
      </c>
      <c r="H367" s="10">
        <v>138</v>
      </c>
      <c r="I367" s="11">
        <v>68</v>
      </c>
      <c r="J367" s="5">
        <v>5.25</v>
      </c>
      <c r="K367" s="6">
        <v>204.33</v>
      </c>
      <c r="L367" s="7">
        <v>84.48</v>
      </c>
      <c r="M367" s="9">
        <v>7.5</v>
      </c>
      <c r="N367" s="10">
        <v>151.09</v>
      </c>
      <c r="O367" s="11">
        <v>64.32</v>
      </c>
      <c r="P367" s="5">
        <v>11</v>
      </c>
      <c r="Q367" s="6">
        <v>438</v>
      </c>
      <c r="R367" s="7">
        <v>179</v>
      </c>
      <c r="S367" s="9">
        <v>16</v>
      </c>
      <c r="T367" s="10">
        <v>320</v>
      </c>
      <c r="U367" s="11">
        <v>136</v>
      </c>
    </row>
    <row r="368" spans="1:41">
      <c r="A368"/>
      <c r="B368"/>
      <c r="C368" s="12" t="s">
        <v>48</v>
      </c>
      <c r="D368" s="5">
        <v>1</v>
      </c>
      <c r="E368" s="6">
        <v>1</v>
      </c>
      <c r="F368" s="7">
        <v>1</v>
      </c>
      <c r="G368" s="9">
        <v>0</v>
      </c>
      <c r="H368" s="10">
        <v>1</v>
      </c>
      <c r="I368" s="11">
        <v>0</v>
      </c>
      <c r="J368" s="5">
        <v>1.8</v>
      </c>
      <c r="K368" s="6">
        <v>0.97</v>
      </c>
      <c r="L368" s="7">
        <v>0.5</v>
      </c>
      <c r="M368" s="9">
        <v>0</v>
      </c>
      <c r="N368" s="10">
        <v>0.5</v>
      </c>
      <c r="O368" s="11">
        <v>0</v>
      </c>
      <c r="P368" s="5">
        <v>4</v>
      </c>
      <c r="Q368" s="6">
        <v>2</v>
      </c>
      <c r="R368" s="7">
        <v>1</v>
      </c>
      <c r="S368" s="9">
        <v>0</v>
      </c>
      <c r="T368" s="10">
        <v>1</v>
      </c>
      <c r="U368" s="11">
        <v>0</v>
      </c>
    </row>
    <row r="369" spans="1:41">
      <c r="A369"/>
      <c r="B369"/>
      <c r="C369" s="12" t="s">
        <v>38</v>
      </c>
      <c r="D369" s="5">
        <v>0</v>
      </c>
      <c r="E369" s="6">
        <v>5</v>
      </c>
      <c r="F369" s="7">
        <v>2</v>
      </c>
      <c r="G369" s="9">
        <v>0</v>
      </c>
      <c r="H369" s="10">
        <v>1</v>
      </c>
      <c r="I369" s="11">
        <v>0</v>
      </c>
      <c r="J369" s="5">
        <v>0</v>
      </c>
      <c r="K369" s="6">
        <v>10.75</v>
      </c>
      <c r="L369" s="7">
        <v>6</v>
      </c>
      <c r="M369" s="9">
        <v>0</v>
      </c>
      <c r="N369" s="10">
        <v>2.5</v>
      </c>
      <c r="O369" s="11">
        <v>0</v>
      </c>
      <c r="P369" s="5">
        <v>0</v>
      </c>
      <c r="Q369" s="6">
        <v>22</v>
      </c>
      <c r="R369" s="7">
        <v>12</v>
      </c>
      <c r="S369" s="9">
        <v>0</v>
      </c>
      <c r="T369" s="10">
        <v>5</v>
      </c>
      <c r="U369" s="11">
        <v>0</v>
      </c>
    </row>
    <row r="370" spans="1:41">
      <c r="C370" s="13" t="s">
        <v>26</v>
      </c>
      <c r="D370" s="13" t="str">
        <f>SUM(D361:D369)</f>
        <v>0</v>
      </c>
      <c r="E370" s="13" t="str">
        <f>SUM(E361:E369)</f>
        <v>0</v>
      </c>
      <c r="F370" s="13" t="str">
        <f>SUM(F361:F369)</f>
        <v>0</v>
      </c>
      <c r="G370" s="13" t="str">
        <f>SUM(G361:G369)</f>
        <v>0</v>
      </c>
      <c r="H370" s="13" t="str">
        <f>SUM(H361:H369)</f>
        <v>0</v>
      </c>
      <c r="I370" s="13" t="str">
        <f>SUM(I361:I369)</f>
        <v>0</v>
      </c>
      <c r="J370" s="13" t="str">
        <f>SUM(J361:J369)</f>
        <v>0</v>
      </c>
      <c r="K370" s="13" t="str">
        <f>SUM(K361:K369)</f>
        <v>0</v>
      </c>
      <c r="L370" s="13" t="str">
        <f>SUM(L361:L369)</f>
        <v>0</v>
      </c>
      <c r="M370" s="13" t="str">
        <f>SUM(M361:M369)</f>
        <v>0</v>
      </c>
      <c r="N370" s="13" t="str">
        <f>SUM(N361:N369)</f>
        <v>0</v>
      </c>
      <c r="O370" s="13" t="str">
        <f>SUM(O361:O369)</f>
        <v>0</v>
      </c>
      <c r="P370" s="13" t="str">
        <f>SUM(P361:P369)</f>
        <v>0</v>
      </c>
      <c r="Q370" s="13" t="str">
        <f>SUM(Q361:Q369)</f>
        <v>0</v>
      </c>
      <c r="R370" s="13" t="str">
        <f>SUM(R361:R369)</f>
        <v>0</v>
      </c>
      <c r="S370" s="13" t="str">
        <f>SUM(S361:S369)</f>
        <v>0</v>
      </c>
      <c r="T370" s="13" t="str">
        <f>SUM(T361:T369)</f>
        <v>0</v>
      </c>
      <c r="U370" s="13" t="str">
        <f>SUM(U361:U369)</f>
        <v>0</v>
      </c>
    </row>
    <row r="371" spans="1:41">
      <c r="A371"/>
      <c r="B371" s="14" t="s">
        <v>114</v>
      </c>
      <c r="C371" s="12" t="s">
        <v>17</v>
      </c>
      <c r="D371" s="5">
        <v>0</v>
      </c>
      <c r="E371" s="6">
        <v>0</v>
      </c>
      <c r="F371" s="7">
        <v>0</v>
      </c>
      <c r="G371" s="9">
        <v>0</v>
      </c>
      <c r="H371" s="10">
        <v>0</v>
      </c>
      <c r="I371" s="11">
        <v>0</v>
      </c>
      <c r="J371" s="5">
        <v>0</v>
      </c>
      <c r="K371" s="6">
        <v>0</v>
      </c>
      <c r="L371" s="7">
        <v>0</v>
      </c>
      <c r="M371" s="9">
        <v>0</v>
      </c>
      <c r="N371" s="10">
        <v>0</v>
      </c>
      <c r="O371" s="11">
        <v>0</v>
      </c>
      <c r="P371" s="5">
        <v>0</v>
      </c>
      <c r="Q371" s="6">
        <v>0</v>
      </c>
      <c r="R371" s="7">
        <v>0</v>
      </c>
      <c r="S371" s="9">
        <v>0</v>
      </c>
      <c r="T371" s="10">
        <v>0</v>
      </c>
      <c r="U371" s="11">
        <v>0</v>
      </c>
    </row>
    <row r="372" spans="1:41">
      <c r="A372"/>
      <c r="B372"/>
      <c r="C372" s="12" t="s">
        <v>20</v>
      </c>
      <c r="D372" s="5">
        <v>0</v>
      </c>
      <c r="E372" s="6">
        <v>0</v>
      </c>
      <c r="F372" s="7">
        <v>0</v>
      </c>
      <c r="G372" s="9">
        <v>0</v>
      </c>
      <c r="H372" s="10">
        <v>0</v>
      </c>
      <c r="I372" s="11">
        <v>0</v>
      </c>
      <c r="J372" s="5">
        <v>0</v>
      </c>
      <c r="K372" s="6">
        <v>0</v>
      </c>
      <c r="L372" s="7">
        <v>0</v>
      </c>
      <c r="M372" s="9">
        <v>0</v>
      </c>
      <c r="N372" s="10">
        <v>0</v>
      </c>
      <c r="O372" s="11">
        <v>0</v>
      </c>
      <c r="P372" s="5">
        <v>0</v>
      </c>
      <c r="Q372" s="6">
        <v>0</v>
      </c>
      <c r="R372" s="7">
        <v>0</v>
      </c>
      <c r="S372" s="9">
        <v>0</v>
      </c>
      <c r="T372" s="10">
        <v>0</v>
      </c>
      <c r="U372" s="11">
        <v>0</v>
      </c>
    </row>
    <row r="373" spans="1:41">
      <c r="C373" s="13" t="s">
        <v>26</v>
      </c>
      <c r="D373" s="13" t="str">
        <f>SUM(D371:D372)</f>
        <v>0</v>
      </c>
      <c r="E373" s="13" t="str">
        <f>SUM(E371:E372)</f>
        <v>0</v>
      </c>
      <c r="F373" s="13" t="str">
        <f>SUM(F371:F372)</f>
        <v>0</v>
      </c>
      <c r="G373" s="13" t="str">
        <f>SUM(G371:G372)</f>
        <v>0</v>
      </c>
      <c r="H373" s="13" t="str">
        <f>SUM(H371:H372)</f>
        <v>0</v>
      </c>
      <c r="I373" s="13" t="str">
        <f>SUM(I371:I372)</f>
        <v>0</v>
      </c>
      <c r="J373" s="13" t="str">
        <f>SUM(J371:J372)</f>
        <v>0</v>
      </c>
      <c r="K373" s="13" t="str">
        <f>SUM(K371:K372)</f>
        <v>0</v>
      </c>
      <c r="L373" s="13" t="str">
        <f>SUM(L371:L372)</f>
        <v>0</v>
      </c>
      <c r="M373" s="13" t="str">
        <f>SUM(M371:M372)</f>
        <v>0</v>
      </c>
      <c r="N373" s="13" t="str">
        <f>SUM(N371:N372)</f>
        <v>0</v>
      </c>
      <c r="O373" s="13" t="str">
        <f>SUM(O371:O372)</f>
        <v>0</v>
      </c>
      <c r="P373" s="13" t="str">
        <f>SUM(P371:P372)</f>
        <v>0</v>
      </c>
      <c r="Q373" s="13" t="str">
        <f>SUM(Q371:Q372)</f>
        <v>0</v>
      </c>
      <c r="R373" s="13" t="str">
        <f>SUM(R371:R372)</f>
        <v>0</v>
      </c>
      <c r="S373" s="13" t="str">
        <f>SUM(S371:S372)</f>
        <v>0</v>
      </c>
      <c r="T373" s="13" t="str">
        <f>SUM(T371:T372)</f>
        <v>0</v>
      </c>
      <c r="U373" s="13" t="str">
        <f>SUM(U371:U372)</f>
        <v>0</v>
      </c>
    </row>
    <row r="374" spans="1:41">
      <c r="A374" s="9" t="s">
        <v>115</v>
      </c>
      <c r="B374" s="11" t="s">
        <v>116</v>
      </c>
      <c r="C374" s="12" t="s">
        <v>30</v>
      </c>
      <c r="D374" s="5">
        <v>0</v>
      </c>
      <c r="E374" s="6">
        <v>0</v>
      </c>
      <c r="F374" s="7">
        <v>0</v>
      </c>
      <c r="G374" s="9">
        <v>0</v>
      </c>
      <c r="H374" s="10">
        <v>0</v>
      </c>
      <c r="I374" s="11">
        <v>0</v>
      </c>
      <c r="J374" s="5">
        <v>0</v>
      </c>
      <c r="K374" s="6">
        <v>0</v>
      </c>
      <c r="L374" s="7">
        <v>0</v>
      </c>
      <c r="M374" s="9">
        <v>0</v>
      </c>
      <c r="N374" s="10">
        <v>0</v>
      </c>
      <c r="O374" s="11">
        <v>0</v>
      </c>
      <c r="P374" s="5">
        <v>0</v>
      </c>
      <c r="Q374" s="6">
        <v>0</v>
      </c>
      <c r="R374" s="7">
        <v>0</v>
      </c>
      <c r="S374" s="9">
        <v>0</v>
      </c>
      <c r="T374" s="10">
        <v>0</v>
      </c>
      <c r="U374" s="11">
        <v>0</v>
      </c>
    </row>
    <row r="375" spans="1:41">
      <c r="A375"/>
      <c r="B375"/>
      <c r="C375" s="12" t="s">
        <v>43</v>
      </c>
      <c r="D375" s="5">
        <v>0</v>
      </c>
      <c r="E375" s="6">
        <v>0</v>
      </c>
      <c r="F375" s="7">
        <v>0</v>
      </c>
      <c r="G375" s="9">
        <v>0</v>
      </c>
      <c r="H375" s="10">
        <v>0</v>
      </c>
      <c r="I375" s="11">
        <v>0</v>
      </c>
      <c r="J375" s="5">
        <v>0</v>
      </c>
      <c r="K375" s="6">
        <v>0</v>
      </c>
      <c r="L375" s="7">
        <v>0</v>
      </c>
      <c r="M375" s="9">
        <v>0</v>
      </c>
      <c r="N375" s="10">
        <v>0</v>
      </c>
      <c r="O375" s="11">
        <v>0</v>
      </c>
      <c r="P375" s="5">
        <v>0</v>
      </c>
      <c r="Q375" s="6">
        <v>0</v>
      </c>
      <c r="R375" s="7">
        <v>0</v>
      </c>
      <c r="S375" s="9">
        <v>0</v>
      </c>
      <c r="T375" s="10">
        <v>0</v>
      </c>
      <c r="U375" s="11">
        <v>0</v>
      </c>
    </row>
    <row r="376" spans="1:41">
      <c r="A376"/>
      <c r="B376"/>
      <c r="C376" s="12" t="s">
        <v>17</v>
      </c>
      <c r="D376" s="5">
        <v>0</v>
      </c>
      <c r="E376" s="6">
        <v>0</v>
      </c>
      <c r="F376" s="7">
        <v>0</v>
      </c>
      <c r="G376" s="9">
        <v>0</v>
      </c>
      <c r="H376" s="10">
        <v>0</v>
      </c>
      <c r="I376" s="11">
        <v>0</v>
      </c>
      <c r="J376" s="5">
        <v>0</v>
      </c>
      <c r="K376" s="6">
        <v>0</v>
      </c>
      <c r="L376" s="7">
        <v>0</v>
      </c>
      <c r="M376" s="9">
        <v>0</v>
      </c>
      <c r="N376" s="10">
        <v>0</v>
      </c>
      <c r="O376" s="11">
        <v>0</v>
      </c>
      <c r="P376" s="5">
        <v>0</v>
      </c>
      <c r="Q376" s="6">
        <v>0</v>
      </c>
      <c r="R376" s="7">
        <v>0</v>
      </c>
      <c r="S376" s="9">
        <v>0</v>
      </c>
      <c r="T376" s="10">
        <v>0</v>
      </c>
      <c r="U376" s="11">
        <v>0</v>
      </c>
    </row>
    <row r="377" spans="1:41">
      <c r="A377"/>
      <c r="B377"/>
      <c r="C377" s="12" t="s">
        <v>20</v>
      </c>
      <c r="D377" s="5">
        <v>0</v>
      </c>
      <c r="E377" s="6">
        <v>0</v>
      </c>
      <c r="F377" s="7">
        <v>0</v>
      </c>
      <c r="G377" s="9">
        <v>0</v>
      </c>
      <c r="H377" s="10">
        <v>0</v>
      </c>
      <c r="I377" s="11">
        <v>0</v>
      </c>
      <c r="J377" s="5">
        <v>0</v>
      </c>
      <c r="K377" s="6">
        <v>0</v>
      </c>
      <c r="L377" s="7">
        <v>0</v>
      </c>
      <c r="M377" s="9">
        <v>0</v>
      </c>
      <c r="N377" s="10">
        <v>0</v>
      </c>
      <c r="O377" s="11">
        <v>0</v>
      </c>
      <c r="P377" s="5">
        <v>0</v>
      </c>
      <c r="Q377" s="6">
        <v>0</v>
      </c>
      <c r="R377" s="7">
        <v>0</v>
      </c>
      <c r="S377" s="9">
        <v>0</v>
      </c>
      <c r="T377" s="10">
        <v>0</v>
      </c>
      <c r="U377" s="11">
        <v>0</v>
      </c>
    </row>
    <row r="378" spans="1:41">
      <c r="A378"/>
      <c r="B378"/>
      <c r="C378" s="12" t="s">
        <v>36</v>
      </c>
      <c r="D378" s="5">
        <v>0</v>
      </c>
      <c r="E378" s="6">
        <v>0</v>
      </c>
      <c r="F378" s="7">
        <v>0</v>
      </c>
      <c r="G378" s="9">
        <v>0</v>
      </c>
      <c r="H378" s="10">
        <v>0</v>
      </c>
      <c r="I378" s="11">
        <v>0</v>
      </c>
      <c r="J378" s="5">
        <v>0</v>
      </c>
      <c r="K378" s="6">
        <v>0</v>
      </c>
      <c r="L378" s="7">
        <v>0</v>
      </c>
      <c r="M378" s="9">
        <v>0</v>
      </c>
      <c r="N378" s="10">
        <v>0</v>
      </c>
      <c r="O378" s="11">
        <v>0</v>
      </c>
      <c r="P378" s="5">
        <v>0</v>
      </c>
      <c r="Q378" s="6">
        <v>0</v>
      </c>
      <c r="R378" s="7">
        <v>0</v>
      </c>
      <c r="S378" s="9">
        <v>0</v>
      </c>
      <c r="T378" s="10">
        <v>0</v>
      </c>
      <c r="U378" s="11">
        <v>0</v>
      </c>
    </row>
    <row r="379" spans="1:41">
      <c r="A379"/>
      <c r="B379"/>
      <c r="C379" s="12" t="s">
        <v>37</v>
      </c>
      <c r="D379" s="5">
        <v>0</v>
      </c>
      <c r="E379" s="6">
        <v>0</v>
      </c>
      <c r="F379" s="7">
        <v>0</v>
      </c>
      <c r="G379" s="9">
        <v>0</v>
      </c>
      <c r="H379" s="10">
        <v>0</v>
      </c>
      <c r="I379" s="11">
        <v>0</v>
      </c>
      <c r="J379" s="5">
        <v>0</v>
      </c>
      <c r="K379" s="6">
        <v>0</v>
      </c>
      <c r="L379" s="7">
        <v>0</v>
      </c>
      <c r="M379" s="9">
        <v>0</v>
      </c>
      <c r="N379" s="10">
        <v>0</v>
      </c>
      <c r="O379" s="11">
        <v>0</v>
      </c>
      <c r="P379" s="5">
        <v>0</v>
      </c>
      <c r="Q379" s="6">
        <v>0</v>
      </c>
      <c r="R379" s="7">
        <v>0</v>
      </c>
      <c r="S379" s="9">
        <v>0</v>
      </c>
      <c r="T379" s="10">
        <v>0</v>
      </c>
      <c r="U379" s="11">
        <v>0</v>
      </c>
    </row>
    <row r="380" spans="1:41">
      <c r="C380" s="13" t="s">
        <v>26</v>
      </c>
      <c r="D380" s="13" t="str">
        <f>SUM(D374:D379)</f>
        <v>0</v>
      </c>
      <c r="E380" s="13" t="str">
        <f>SUM(E374:E379)</f>
        <v>0</v>
      </c>
      <c r="F380" s="13" t="str">
        <f>SUM(F374:F379)</f>
        <v>0</v>
      </c>
      <c r="G380" s="13" t="str">
        <f>SUM(G374:G379)</f>
        <v>0</v>
      </c>
      <c r="H380" s="13" t="str">
        <f>SUM(H374:H379)</f>
        <v>0</v>
      </c>
      <c r="I380" s="13" t="str">
        <f>SUM(I374:I379)</f>
        <v>0</v>
      </c>
      <c r="J380" s="13" t="str">
        <f>SUM(J374:J379)</f>
        <v>0</v>
      </c>
      <c r="K380" s="13" t="str">
        <f>SUM(K374:K379)</f>
        <v>0</v>
      </c>
      <c r="L380" s="13" t="str">
        <f>SUM(L374:L379)</f>
        <v>0</v>
      </c>
      <c r="M380" s="13" t="str">
        <f>SUM(M374:M379)</f>
        <v>0</v>
      </c>
      <c r="N380" s="13" t="str">
        <f>SUM(N374:N379)</f>
        <v>0</v>
      </c>
      <c r="O380" s="13" t="str">
        <f>SUM(O374:O379)</f>
        <v>0</v>
      </c>
      <c r="P380" s="13" t="str">
        <f>SUM(P374:P379)</f>
        <v>0</v>
      </c>
      <c r="Q380" s="13" t="str">
        <f>SUM(Q374:Q379)</f>
        <v>0</v>
      </c>
      <c r="R380" s="13" t="str">
        <f>SUM(R374:R379)</f>
        <v>0</v>
      </c>
      <c r="S380" s="13" t="str">
        <f>SUM(S374:S379)</f>
        <v>0</v>
      </c>
      <c r="T380" s="13" t="str">
        <f>SUM(T374:T379)</f>
        <v>0</v>
      </c>
      <c r="U380" s="13" t="str">
        <f>SUM(U374:U379)</f>
        <v>0</v>
      </c>
    </row>
    <row r="381" spans="1:41">
      <c r="A381"/>
      <c r="B381" s="14" t="s">
        <v>117</v>
      </c>
      <c r="C381" s="12" t="s">
        <v>30</v>
      </c>
      <c r="D381" s="5">
        <v>0</v>
      </c>
      <c r="E381" s="6">
        <v>0</v>
      </c>
      <c r="F381" s="7">
        <v>0</v>
      </c>
      <c r="G381" s="9">
        <v>0</v>
      </c>
      <c r="H381" s="10">
        <v>0</v>
      </c>
      <c r="I381" s="11">
        <v>0</v>
      </c>
      <c r="J381" s="5">
        <v>0</v>
      </c>
      <c r="K381" s="6">
        <v>0</v>
      </c>
      <c r="L381" s="7">
        <v>0</v>
      </c>
      <c r="M381" s="9">
        <v>0</v>
      </c>
      <c r="N381" s="10">
        <v>0</v>
      </c>
      <c r="O381" s="11">
        <v>0</v>
      </c>
      <c r="P381" s="5">
        <v>0</v>
      </c>
      <c r="Q381" s="6">
        <v>0</v>
      </c>
      <c r="R381" s="7">
        <v>0</v>
      </c>
      <c r="S381" s="9">
        <v>0</v>
      </c>
      <c r="T381" s="10">
        <v>0</v>
      </c>
      <c r="U381" s="11">
        <v>0</v>
      </c>
    </row>
    <row r="382" spans="1:41">
      <c r="A382"/>
      <c r="B382"/>
      <c r="C382" s="12" t="s">
        <v>17</v>
      </c>
      <c r="D382" s="5">
        <v>0</v>
      </c>
      <c r="E382" s="6">
        <v>17</v>
      </c>
      <c r="F382" s="7">
        <v>10</v>
      </c>
      <c r="G382" s="9">
        <v>0</v>
      </c>
      <c r="H382" s="10">
        <v>2</v>
      </c>
      <c r="I382" s="11">
        <v>2</v>
      </c>
      <c r="J382" s="5">
        <v>0</v>
      </c>
      <c r="K382" s="6">
        <v>6.18</v>
      </c>
      <c r="L382" s="7">
        <v>4.6</v>
      </c>
      <c r="M382" s="9">
        <v>0</v>
      </c>
      <c r="N382" s="10">
        <v>0.68</v>
      </c>
      <c r="O382" s="11">
        <v>1.24</v>
      </c>
      <c r="P382" s="5">
        <v>0</v>
      </c>
      <c r="Q382" s="6">
        <v>20</v>
      </c>
      <c r="R382" s="7">
        <v>12</v>
      </c>
      <c r="S382" s="9">
        <v>0</v>
      </c>
      <c r="T382" s="10">
        <v>2</v>
      </c>
      <c r="U382" s="11">
        <v>3</v>
      </c>
    </row>
    <row r="383" spans="1:41">
      <c r="A383"/>
      <c r="B383"/>
      <c r="C383" s="12" t="s">
        <v>36</v>
      </c>
      <c r="D383" s="5">
        <v>0</v>
      </c>
      <c r="E383" s="6">
        <v>2</v>
      </c>
      <c r="F383" s="7">
        <v>5</v>
      </c>
      <c r="G383" s="9">
        <v>0</v>
      </c>
      <c r="H383" s="10">
        <v>0</v>
      </c>
      <c r="I383" s="11">
        <v>0</v>
      </c>
      <c r="J383" s="5">
        <v>0</v>
      </c>
      <c r="K383" s="6">
        <v>0.5</v>
      </c>
      <c r="L383" s="7">
        <v>2.78</v>
      </c>
      <c r="M383" s="9">
        <v>0</v>
      </c>
      <c r="N383" s="10">
        <v>0</v>
      </c>
      <c r="O383" s="11">
        <v>0</v>
      </c>
      <c r="P383" s="5">
        <v>0</v>
      </c>
      <c r="Q383" s="6">
        <v>2</v>
      </c>
      <c r="R383" s="7">
        <v>7</v>
      </c>
      <c r="S383" s="9">
        <v>0</v>
      </c>
      <c r="T383" s="10">
        <v>0</v>
      </c>
      <c r="U383" s="11">
        <v>0</v>
      </c>
    </row>
    <row r="384" spans="1:41">
      <c r="C384" s="13" t="s">
        <v>26</v>
      </c>
      <c r="D384" s="13" t="str">
        <f>SUM(D381:D383)</f>
        <v>0</v>
      </c>
      <c r="E384" s="13" t="str">
        <f>SUM(E381:E383)</f>
        <v>0</v>
      </c>
      <c r="F384" s="13" t="str">
        <f>SUM(F381:F383)</f>
        <v>0</v>
      </c>
      <c r="G384" s="13" t="str">
        <f>SUM(G381:G383)</f>
        <v>0</v>
      </c>
      <c r="H384" s="13" t="str">
        <f>SUM(H381:H383)</f>
        <v>0</v>
      </c>
      <c r="I384" s="13" t="str">
        <f>SUM(I381:I383)</f>
        <v>0</v>
      </c>
      <c r="J384" s="13" t="str">
        <f>SUM(J381:J383)</f>
        <v>0</v>
      </c>
      <c r="K384" s="13" t="str">
        <f>SUM(K381:K383)</f>
        <v>0</v>
      </c>
      <c r="L384" s="13" t="str">
        <f>SUM(L381:L383)</f>
        <v>0</v>
      </c>
      <c r="M384" s="13" t="str">
        <f>SUM(M381:M383)</f>
        <v>0</v>
      </c>
      <c r="N384" s="13" t="str">
        <f>SUM(N381:N383)</f>
        <v>0</v>
      </c>
      <c r="O384" s="13" t="str">
        <f>SUM(O381:O383)</f>
        <v>0</v>
      </c>
      <c r="P384" s="13" t="str">
        <f>SUM(P381:P383)</f>
        <v>0</v>
      </c>
      <c r="Q384" s="13" t="str">
        <f>SUM(Q381:Q383)</f>
        <v>0</v>
      </c>
      <c r="R384" s="13" t="str">
        <f>SUM(R381:R383)</f>
        <v>0</v>
      </c>
      <c r="S384" s="13" t="str">
        <f>SUM(S381:S383)</f>
        <v>0</v>
      </c>
      <c r="T384" s="13" t="str">
        <f>SUM(T381:T383)</f>
        <v>0</v>
      </c>
      <c r="U384" s="13" t="str">
        <f>SUM(U381:U383)</f>
        <v>0</v>
      </c>
    </row>
    <row r="385" spans="1:41">
      <c r="A385"/>
      <c r="B385" s="14" t="s">
        <v>118</v>
      </c>
      <c r="C385" s="12" t="s">
        <v>30</v>
      </c>
      <c r="D385" s="5">
        <v>0</v>
      </c>
      <c r="E385" s="6">
        <v>0</v>
      </c>
      <c r="F385" s="7">
        <v>0</v>
      </c>
      <c r="G385" s="9">
        <v>0</v>
      </c>
      <c r="H385" s="10">
        <v>0</v>
      </c>
      <c r="I385" s="11">
        <v>0</v>
      </c>
      <c r="J385" s="5">
        <v>0</v>
      </c>
      <c r="K385" s="6">
        <v>0</v>
      </c>
      <c r="L385" s="7">
        <v>0</v>
      </c>
      <c r="M385" s="9">
        <v>0</v>
      </c>
      <c r="N385" s="10">
        <v>0</v>
      </c>
      <c r="O385" s="11">
        <v>0</v>
      </c>
      <c r="P385" s="5">
        <v>0</v>
      </c>
      <c r="Q385" s="6">
        <v>0</v>
      </c>
      <c r="R385" s="7">
        <v>0</v>
      </c>
      <c r="S385" s="9">
        <v>0</v>
      </c>
      <c r="T385" s="10">
        <v>0</v>
      </c>
      <c r="U385" s="11">
        <v>0</v>
      </c>
    </row>
    <row r="386" spans="1:41">
      <c r="A386"/>
      <c r="B386"/>
      <c r="C386" s="12" t="s">
        <v>16</v>
      </c>
      <c r="D386" s="5">
        <v>1</v>
      </c>
      <c r="E386" s="6">
        <v>15</v>
      </c>
      <c r="F386" s="7">
        <v>16</v>
      </c>
      <c r="G386" s="9">
        <v>0</v>
      </c>
      <c r="H386" s="10">
        <v>25</v>
      </c>
      <c r="I386" s="11">
        <v>23</v>
      </c>
      <c r="J386" s="5">
        <v>0.6</v>
      </c>
      <c r="K386" s="6">
        <v>7.79</v>
      </c>
      <c r="L386" s="7">
        <v>8.8</v>
      </c>
      <c r="M386" s="9">
        <v>0</v>
      </c>
      <c r="N386" s="10">
        <v>13.62</v>
      </c>
      <c r="O386" s="11">
        <v>14.07</v>
      </c>
      <c r="P386" s="5">
        <v>2</v>
      </c>
      <c r="Q386" s="6">
        <v>23</v>
      </c>
      <c r="R386" s="7">
        <v>27</v>
      </c>
      <c r="S386" s="9">
        <v>0</v>
      </c>
      <c r="T386" s="10">
        <v>37</v>
      </c>
      <c r="U386" s="11">
        <v>39</v>
      </c>
    </row>
    <row r="387" spans="1:41">
      <c r="A387"/>
      <c r="B387"/>
      <c r="C387" s="12" t="s">
        <v>17</v>
      </c>
      <c r="D387" s="5">
        <v>19</v>
      </c>
      <c r="E387" s="6">
        <v>74</v>
      </c>
      <c r="F387" s="7">
        <v>35</v>
      </c>
      <c r="G387" s="9">
        <v>3</v>
      </c>
      <c r="H387" s="10">
        <v>37</v>
      </c>
      <c r="I387" s="11">
        <v>21</v>
      </c>
      <c r="J387" s="5">
        <v>20.35</v>
      </c>
      <c r="K387" s="6">
        <v>90.19</v>
      </c>
      <c r="L387" s="7">
        <v>32.08</v>
      </c>
      <c r="M387" s="9">
        <v>4.31</v>
      </c>
      <c r="N387" s="10">
        <v>44.85</v>
      </c>
      <c r="O387" s="11">
        <v>23.73</v>
      </c>
      <c r="P387" s="5">
        <v>46</v>
      </c>
      <c r="Q387" s="6">
        <v>208</v>
      </c>
      <c r="R387" s="7">
        <v>79</v>
      </c>
      <c r="S387" s="9">
        <v>9</v>
      </c>
      <c r="T387" s="10">
        <v>102</v>
      </c>
      <c r="U387" s="11">
        <v>56</v>
      </c>
    </row>
    <row r="388" spans="1:41">
      <c r="A388"/>
      <c r="B388"/>
      <c r="C388" s="12" t="s">
        <v>18</v>
      </c>
      <c r="D388" s="5">
        <v>0</v>
      </c>
      <c r="E388" s="6">
        <v>5</v>
      </c>
      <c r="F388" s="7">
        <v>3</v>
      </c>
      <c r="G388" s="9">
        <v>0</v>
      </c>
      <c r="H388" s="10">
        <v>2</v>
      </c>
      <c r="I388" s="11">
        <v>3</v>
      </c>
      <c r="J388" s="5">
        <v>0</v>
      </c>
      <c r="K388" s="6">
        <v>5.26</v>
      </c>
      <c r="L388" s="7">
        <v>1.2</v>
      </c>
      <c r="M388" s="9">
        <v>0</v>
      </c>
      <c r="N388" s="10">
        <v>4.15</v>
      </c>
      <c r="O388" s="11">
        <v>2.5</v>
      </c>
      <c r="P388" s="5">
        <v>0</v>
      </c>
      <c r="Q388" s="6">
        <v>12</v>
      </c>
      <c r="R388" s="7">
        <v>3</v>
      </c>
      <c r="S388" s="9">
        <v>0</v>
      </c>
      <c r="T388" s="10">
        <v>9</v>
      </c>
      <c r="U388" s="11">
        <v>6</v>
      </c>
    </row>
    <row r="389" spans="1:41">
      <c r="A389"/>
      <c r="B389"/>
      <c r="C389" s="12" t="s">
        <v>20</v>
      </c>
      <c r="D389" s="5">
        <v>15</v>
      </c>
      <c r="E389" s="6">
        <v>49</v>
      </c>
      <c r="F389" s="7">
        <v>16</v>
      </c>
      <c r="G389" s="9">
        <v>0</v>
      </c>
      <c r="H389" s="10">
        <v>43</v>
      </c>
      <c r="I389" s="11">
        <v>29</v>
      </c>
      <c r="J389" s="5">
        <v>15.63</v>
      </c>
      <c r="K389" s="6">
        <v>48.37</v>
      </c>
      <c r="L389" s="7">
        <v>13.44</v>
      </c>
      <c r="M389" s="9">
        <v>0</v>
      </c>
      <c r="N389" s="10">
        <v>24.75</v>
      </c>
      <c r="O389" s="11">
        <v>25.71</v>
      </c>
      <c r="P389" s="5">
        <v>35</v>
      </c>
      <c r="Q389" s="6">
        <v>115</v>
      </c>
      <c r="R389" s="7">
        <v>35</v>
      </c>
      <c r="S389" s="9">
        <v>0</v>
      </c>
      <c r="T389" s="10">
        <v>70</v>
      </c>
      <c r="U389" s="11">
        <v>62</v>
      </c>
    </row>
    <row r="390" spans="1:41">
      <c r="A390"/>
      <c r="B390"/>
      <c r="C390" s="12" t="s">
        <v>36</v>
      </c>
      <c r="D390" s="5">
        <v>0</v>
      </c>
      <c r="E390" s="6">
        <v>1</v>
      </c>
      <c r="F390" s="7">
        <v>3</v>
      </c>
      <c r="G390" s="9">
        <v>0</v>
      </c>
      <c r="H390" s="10">
        <v>5</v>
      </c>
      <c r="I390" s="11">
        <v>2</v>
      </c>
      <c r="J390" s="5">
        <v>0</v>
      </c>
      <c r="K390" s="6">
        <v>0.25</v>
      </c>
      <c r="L390" s="7">
        <v>0.95</v>
      </c>
      <c r="M390" s="9">
        <v>0</v>
      </c>
      <c r="N390" s="10">
        <v>1.28</v>
      </c>
      <c r="O390" s="11">
        <v>0.88</v>
      </c>
      <c r="P390" s="5">
        <v>0</v>
      </c>
      <c r="Q390" s="6">
        <v>1</v>
      </c>
      <c r="R390" s="7">
        <v>4</v>
      </c>
      <c r="S390" s="9">
        <v>0</v>
      </c>
      <c r="T390" s="10">
        <v>5</v>
      </c>
      <c r="U390" s="11">
        <v>2</v>
      </c>
    </row>
    <row r="391" spans="1:41">
      <c r="A391"/>
      <c r="B391"/>
      <c r="C391" s="12" t="s">
        <v>37</v>
      </c>
      <c r="D391" s="5">
        <v>0</v>
      </c>
      <c r="E391" s="6">
        <v>0</v>
      </c>
      <c r="F391" s="7">
        <v>0</v>
      </c>
      <c r="G391" s="9">
        <v>0</v>
      </c>
      <c r="H391" s="10">
        <v>0</v>
      </c>
      <c r="I391" s="11">
        <v>0</v>
      </c>
      <c r="J391" s="5">
        <v>0</v>
      </c>
      <c r="K391" s="6">
        <v>0</v>
      </c>
      <c r="L391" s="7">
        <v>0</v>
      </c>
      <c r="M391" s="9">
        <v>0</v>
      </c>
      <c r="N391" s="10">
        <v>0</v>
      </c>
      <c r="O391" s="11">
        <v>0</v>
      </c>
      <c r="P391" s="5">
        <v>0</v>
      </c>
      <c r="Q391" s="6">
        <v>0</v>
      </c>
      <c r="R391" s="7">
        <v>0</v>
      </c>
      <c r="S391" s="9">
        <v>0</v>
      </c>
      <c r="T391" s="10">
        <v>0</v>
      </c>
      <c r="U391" s="11">
        <v>0</v>
      </c>
    </row>
    <row r="392" spans="1:41">
      <c r="C392" s="13" t="s">
        <v>26</v>
      </c>
      <c r="D392" s="13" t="str">
        <f>SUM(D385:D391)</f>
        <v>0</v>
      </c>
      <c r="E392" s="13" t="str">
        <f>SUM(E385:E391)</f>
        <v>0</v>
      </c>
      <c r="F392" s="13" t="str">
        <f>SUM(F385:F391)</f>
        <v>0</v>
      </c>
      <c r="G392" s="13" t="str">
        <f>SUM(G385:G391)</f>
        <v>0</v>
      </c>
      <c r="H392" s="13" t="str">
        <f>SUM(H385:H391)</f>
        <v>0</v>
      </c>
      <c r="I392" s="13" t="str">
        <f>SUM(I385:I391)</f>
        <v>0</v>
      </c>
      <c r="J392" s="13" t="str">
        <f>SUM(J385:J391)</f>
        <v>0</v>
      </c>
      <c r="K392" s="13" t="str">
        <f>SUM(K385:K391)</f>
        <v>0</v>
      </c>
      <c r="L392" s="13" t="str">
        <f>SUM(L385:L391)</f>
        <v>0</v>
      </c>
      <c r="M392" s="13" t="str">
        <f>SUM(M385:M391)</f>
        <v>0</v>
      </c>
      <c r="N392" s="13" t="str">
        <f>SUM(N385:N391)</f>
        <v>0</v>
      </c>
      <c r="O392" s="13" t="str">
        <f>SUM(O385:O391)</f>
        <v>0</v>
      </c>
      <c r="P392" s="13" t="str">
        <f>SUM(P385:P391)</f>
        <v>0</v>
      </c>
      <c r="Q392" s="13" t="str">
        <f>SUM(Q385:Q391)</f>
        <v>0</v>
      </c>
      <c r="R392" s="13" t="str">
        <f>SUM(R385:R391)</f>
        <v>0</v>
      </c>
      <c r="S392" s="13" t="str">
        <f>SUM(S385:S391)</f>
        <v>0</v>
      </c>
      <c r="T392" s="13" t="str">
        <f>SUM(T385:T391)</f>
        <v>0</v>
      </c>
      <c r="U392" s="13" t="str">
        <f>SUM(U385:U391)</f>
        <v>0</v>
      </c>
    </row>
    <row r="393" spans="1:41">
      <c r="A393"/>
      <c r="B393" s="14" t="s">
        <v>119</v>
      </c>
      <c r="C393" s="12" t="s">
        <v>30</v>
      </c>
      <c r="D393" s="5">
        <v>1</v>
      </c>
      <c r="E393" s="6">
        <v>48</v>
      </c>
      <c r="F393" s="7">
        <v>44</v>
      </c>
      <c r="G393" s="9">
        <v>2</v>
      </c>
      <c r="H393" s="10">
        <v>39</v>
      </c>
      <c r="I393" s="11">
        <v>43</v>
      </c>
      <c r="J393" s="5">
        <v>0.35</v>
      </c>
      <c r="K393" s="6">
        <v>22.8</v>
      </c>
      <c r="L393" s="7">
        <v>21.2</v>
      </c>
      <c r="M393" s="9">
        <v>1.01</v>
      </c>
      <c r="N393" s="10">
        <v>17.6</v>
      </c>
      <c r="O393" s="11">
        <v>20.03</v>
      </c>
      <c r="P393" s="5">
        <v>1</v>
      </c>
      <c r="Q393" s="6">
        <v>66</v>
      </c>
      <c r="R393" s="7">
        <v>61</v>
      </c>
      <c r="S393" s="9">
        <v>3</v>
      </c>
      <c r="T393" s="10">
        <v>53</v>
      </c>
      <c r="U393" s="11">
        <v>60</v>
      </c>
    </row>
    <row r="394" spans="1:41">
      <c r="A394"/>
      <c r="B394"/>
      <c r="C394" s="12" t="s">
        <v>43</v>
      </c>
      <c r="D394" s="5">
        <v>0</v>
      </c>
      <c r="E394" s="6">
        <v>52</v>
      </c>
      <c r="F394" s="7">
        <v>47</v>
      </c>
      <c r="G394" s="9">
        <v>1</v>
      </c>
      <c r="H394" s="10">
        <v>34</v>
      </c>
      <c r="I394" s="11">
        <v>27</v>
      </c>
      <c r="J394" s="5">
        <v>0</v>
      </c>
      <c r="K394" s="6">
        <v>21.58</v>
      </c>
      <c r="L394" s="7">
        <v>27.24</v>
      </c>
      <c r="M394" s="9">
        <v>0.5</v>
      </c>
      <c r="N394" s="10">
        <v>11.52</v>
      </c>
      <c r="O394" s="11">
        <v>13.17</v>
      </c>
      <c r="P394" s="5">
        <v>0</v>
      </c>
      <c r="Q394" s="6">
        <v>65</v>
      </c>
      <c r="R394" s="7">
        <v>73</v>
      </c>
      <c r="S394" s="9">
        <v>1</v>
      </c>
      <c r="T394" s="10">
        <v>39</v>
      </c>
      <c r="U394" s="11">
        <v>37</v>
      </c>
    </row>
    <row r="395" spans="1:41">
      <c r="A395"/>
      <c r="B395"/>
      <c r="C395" s="12" t="s">
        <v>16</v>
      </c>
      <c r="D395" s="5">
        <v>4</v>
      </c>
      <c r="E395" s="6">
        <v>106</v>
      </c>
      <c r="F395" s="7">
        <v>99</v>
      </c>
      <c r="G395" s="9">
        <v>3</v>
      </c>
      <c r="H395" s="10">
        <v>76</v>
      </c>
      <c r="I395" s="11">
        <v>71</v>
      </c>
      <c r="J395" s="5">
        <v>1.61</v>
      </c>
      <c r="K395" s="6">
        <v>66.05</v>
      </c>
      <c r="L395" s="7">
        <v>61.53</v>
      </c>
      <c r="M395" s="9">
        <v>2.26</v>
      </c>
      <c r="N395" s="10">
        <v>36.8</v>
      </c>
      <c r="O395" s="11">
        <v>38.18</v>
      </c>
      <c r="P395" s="5">
        <v>5</v>
      </c>
      <c r="Q395" s="6">
        <v>181</v>
      </c>
      <c r="R395" s="7">
        <v>159</v>
      </c>
      <c r="S395" s="9">
        <v>5</v>
      </c>
      <c r="T395" s="10">
        <v>105</v>
      </c>
      <c r="U395" s="11">
        <v>108</v>
      </c>
    </row>
    <row r="396" spans="1:41">
      <c r="A396"/>
      <c r="B396"/>
      <c r="C396" s="12" t="s">
        <v>17</v>
      </c>
      <c r="D396" s="5">
        <v>6</v>
      </c>
      <c r="E396" s="6">
        <v>157</v>
      </c>
      <c r="F396" s="7">
        <v>130</v>
      </c>
      <c r="G396" s="9">
        <v>2</v>
      </c>
      <c r="H396" s="10">
        <v>149</v>
      </c>
      <c r="I396" s="11">
        <v>145</v>
      </c>
      <c r="J396" s="5">
        <v>2.28</v>
      </c>
      <c r="K396" s="6">
        <v>99.22</v>
      </c>
      <c r="L396" s="7">
        <v>82.85</v>
      </c>
      <c r="M396" s="9">
        <v>0.54</v>
      </c>
      <c r="N396" s="10">
        <v>76.23</v>
      </c>
      <c r="O396" s="11">
        <v>80.31</v>
      </c>
      <c r="P396" s="5">
        <v>7</v>
      </c>
      <c r="Q396" s="6">
        <v>262</v>
      </c>
      <c r="R396" s="7">
        <v>211</v>
      </c>
      <c r="S396" s="9">
        <v>2</v>
      </c>
      <c r="T396" s="10">
        <v>221</v>
      </c>
      <c r="U396" s="11">
        <v>220</v>
      </c>
    </row>
    <row r="397" spans="1:41">
      <c r="A397"/>
      <c r="B397"/>
      <c r="C397" s="12" t="s">
        <v>18</v>
      </c>
      <c r="D397" s="5">
        <v>4</v>
      </c>
      <c r="E397" s="6">
        <v>176</v>
      </c>
      <c r="F397" s="7">
        <v>167</v>
      </c>
      <c r="G397" s="9">
        <v>4</v>
      </c>
      <c r="H397" s="10">
        <v>156</v>
      </c>
      <c r="I397" s="11">
        <v>174</v>
      </c>
      <c r="J397" s="5">
        <v>1.17</v>
      </c>
      <c r="K397" s="6">
        <v>67.84</v>
      </c>
      <c r="L397" s="7">
        <v>79.57</v>
      </c>
      <c r="M397" s="9">
        <v>1.87</v>
      </c>
      <c r="N397" s="10">
        <v>56.92</v>
      </c>
      <c r="O397" s="11">
        <v>71.35</v>
      </c>
      <c r="P397" s="5">
        <v>4</v>
      </c>
      <c r="Q397" s="6">
        <v>219</v>
      </c>
      <c r="R397" s="7">
        <v>228</v>
      </c>
      <c r="S397" s="9">
        <v>5</v>
      </c>
      <c r="T397" s="10">
        <v>187</v>
      </c>
      <c r="U397" s="11">
        <v>220</v>
      </c>
    </row>
    <row r="398" spans="1:41">
      <c r="A398"/>
      <c r="B398"/>
      <c r="C398" s="12" t="s">
        <v>20</v>
      </c>
      <c r="D398" s="5">
        <v>16</v>
      </c>
      <c r="E398" s="6">
        <v>427</v>
      </c>
      <c r="F398" s="7">
        <v>374</v>
      </c>
      <c r="G398" s="9">
        <v>13</v>
      </c>
      <c r="H398" s="10">
        <v>402</v>
      </c>
      <c r="I398" s="11">
        <v>348</v>
      </c>
      <c r="J398" s="5">
        <v>10.27</v>
      </c>
      <c r="K398" s="6">
        <v>276.64</v>
      </c>
      <c r="L398" s="7">
        <v>231.73</v>
      </c>
      <c r="M398" s="9">
        <v>6.81</v>
      </c>
      <c r="N398" s="10">
        <v>251.5</v>
      </c>
      <c r="O398" s="11">
        <v>211.4</v>
      </c>
      <c r="P398" s="5">
        <v>26</v>
      </c>
      <c r="Q398" s="6">
        <v>710</v>
      </c>
      <c r="R398" s="7">
        <v>611</v>
      </c>
      <c r="S398" s="9">
        <v>20</v>
      </c>
      <c r="T398" s="10">
        <v>663</v>
      </c>
      <c r="U398" s="11">
        <v>563</v>
      </c>
    </row>
    <row r="399" spans="1:41">
      <c r="A399"/>
      <c r="B399"/>
      <c r="C399" s="12" t="s">
        <v>36</v>
      </c>
      <c r="D399" s="5">
        <v>2</v>
      </c>
      <c r="E399" s="6">
        <v>35</v>
      </c>
      <c r="F399" s="7">
        <v>21</v>
      </c>
      <c r="G399" s="9">
        <v>3</v>
      </c>
      <c r="H399" s="10">
        <v>35</v>
      </c>
      <c r="I399" s="11">
        <v>18</v>
      </c>
      <c r="J399" s="5">
        <v>2.5</v>
      </c>
      <c r="K399" s="6">
        <v>48.52</v>
      </c>
      <c r="L399" s="7">
        <v>29.2</v>
      </c>
      <c r="M399" s="9">
        <v>1.71</v>
      </c>
      <c r="N399" s="10">
        <v>35.57</v>
      </c>
      <c r="O399" s="11">
        <v>22.37</v>
      </c>
      <c r="P399" s="5">
        <v>5</v>
      </c>
      <c r="Q399" s="6">
        <v>107</v>
      </c>
      <c r="R399" s="7">
        <v>63</v>
      </c>
      <c r="S399" s="9">
        <v>5</v>
      </c>
      <c r="T399" s="10">
        <v>80</v>
      </c>
      <c r="U399" s="11">
        <v>48</v>
      </c>
    </row>
    <row r="400" spans="1:41">
      <c r="A400"/>
      <c r="B400"/>
      <c r="C400" s="12" t="s">
        <v>37</v>
      </c>
      <c r="D400" s="5">
        <v>1</v>
      </c>
      <c r="E400" s="6">
        <v>37</v>
      </c>
      <c r="F400" s="7">
        <v>20</v>
      </c>
      <c r="G400" s="9">
        <v>0</v>
      </c>
      <c r="H400" s="10">
        <v>17</v>
      </c>
      <c r="I400" s="11">
        <v>19</v>
      </c>
      <c r="J400" s="5">
        <v>1</v>
      </c>
      <c r="K400" s="6">
        <v>27.24</v>
      </c>
      <c r="L400" s="7">
        <v>12.05</v>
      </c>
      <c r="M400" s="9">
        <v>0</v>
      </c>
      <c r="N400" s="10">
        <v>10.29</v>
      </c>
      <c r="O400" s="11">
        <v>9.14</v>
      </c>
      <c r="P400" s="5">
        <v>2</v>
      </c>
      <c r="Q400" s="6">
        <v>68</v>
      </c>
      <c r="R400" s="7">
        <v>30</v>
      </c>
      <c r="S400" s="9">
        <v>0</v>
      </c>
      <c r="T400" s="10">
        <v>27</v>
      </c>
      <c r="U400" s="11">
        <v>25</v>
      </c>
    </row>
    <row r="401" spans="1:41">
      <c r="C401" s="13" t="s">
        <v>26</v>
      </c>
      <c r="D401" s="13" t="str">
        <f>SUM(D393:D400)</f>
        <v>0</v>
      </c>
      <c r="E401" s="13" t="str">
        <f>SUM(E393:E400)</f>
        <v>0</v>
      </c>
      <c r="F401" s="13" t="str">
        <f>SUM(F393:F400)</f>
        <v>0</v>
      </c>
      <c r="G401" s="13" t="str">
        <f>SUM(G393:G400)</f>
        <v>0</v>
      </c>
      <c r="H401" s="13" t="str">
        <f>SUM(H393:H400)</f>
        <v>0</v>
      </c>
      <c r="I401" s="13" t="str">
        <f>SUM(I393:I400)</f>
        <v>0</v>
      </c>
      <c r="J401" s="13" t="str">
        <f>SUM(J393:J400)</f>
        <v>0</v>
      </c>
      <c r="K401" s="13" t="str">
        <f>SUM(K393:K400)</f>
        <v>0</v>
      </c>
      <c r="L401" s="13" t="str">
        <f>SUM(L393:L400)</f>
        <v>0</v>
      </c>
      <c r="M401" s="13" t="str">
        <f>SUM(M393:M400)</f>
        <v>0</v>
      </c>
      <c r="N401" s="13" t="str">
        <f>SUM(N393:N400)</f>
        <v>0</v>
      </c>
      <c r="O401" s="13" t="str">
        <f>SUM(O393:O400)</f>
        <v>0</v>
      </c>
      <c r="P401" s="13" t="str">
        <f>SUM(P393:P400)</f>
        <v>0</v>
      </c>
      <c r="Q401" s="13" t="str">
        <f>SUM(Q393:Q400)</f>
        <v>0</v>
      </c>
      <c r="R401" s="13" t="str">
        <f>SUM(R393:R400)</f>
        <v>0</v>
      </c>
      <c r="S401" s="13" t="str">
        <f>SUM(S393:S400)</f>
        <v>0</v>
      </c>
      <c r="T401" s="13" t="str">
        <f>SUM(T393:T400)</f>
        <v>0</v>
      </c>
      <c r="U401" s="13" t="str">
        <f>SUM(U393:U400)</f>
        <v>0</v>
      </c>
    </row>
    <row r="402" spans="1:41">
      <c r="A402"/>
      <c r="B402" s="14" t="s">
        <v>120</v>
      </c>
      <c r="C402" s="12" t="s">
        <v>30</v>
      </c>
      <c r="D402" s="5">
        <v>3</v>
      </c>
      <c r="E402" s="6">
        <v>28</v>
      </c>
      <c r="F402" s="7">
        <v>35</v>
      </c>
      <c r="G402" s="9">
        <v>0</v>
      </c>
      <c r="H402" s="10">
        <v>18</v>
      </c>
      <c r="I402" s="11">
        <v>6</v>
      </c>
      <c r="J402" s="5">
        <v>2.25</v>
      </c>
      <c r="K402" s="6">
        <v>18.44</v>
      </c>
      <c r="L402" s="7">
        <v>32.54</v>
      </c>
      <c r="M402" s="9">
        <v>0</v>
      </c>
      <c r="N402" s="10">
        <v>22.38</v>
      </c>
      <c r="O402" s="11">
        <v>7.08</v>
      </c>
      <c r="P402" s="5">
        <v>5</v>
      </c>
      <c r="Q402" s="6">
        <v>44</v>
      </c>
      <c r="R402" s="7">
        <v>73</v>
      </c>
      <c r="S402" s="9">
        <v>0</v>
      </c>
      <c r="T402" s="10">
        <v>50</v>
      </c>
      <c r="U402" s="11">
        <v>16</v>
      </c>
    </row>
    <row r="403" spans="1:41">
      <c r="A403"/>
      <c r="B403"/>
      <c r="C403" s="12" t="s">
        <v>43</v>
      </c>
      <c r="D403" s="5">
        <v>0</v>
      </c>
      <c r="E403" s="6">
        <v>17</v>
      </c>
      <c r="F403" s="7">
        <v>11</v>
      </c>
      <c r="G403" s="9">
        <v>0</v>
      </c>
      <c r="H403" s="10">
        <v>9</v>
      </c>
      <c r="I403" s="11">
        <v>1</v>
      </c>
      <c r="J403" s="5">
        <v>0</v>
      </c>
      <c r="K403" s="6">
        <v>14.2</v>
      </c>
      <c r="L403" s="7">
        <v>5.8</v>
      </c>
      <c r="M403" s="9">
        <v>0</v>
      </c>
      <c r="N403" s="10">
        <v>7.38</v>
      </c>
      <c r="O403" s="11">
        <v>0.5</v>
      </c>
      <c r="P403" s="5">
        <v>0</v>
      </c>
      <c r="Q403" s="6">
        <v>32</v>
      </c>
      <c r="R403" s="7">
        <v>16</v>
      </c>
      <c r="S403" s="9">
        <v>0</v>
      </c>
      <c r="T403" s="10">
        <v>18</v>
      </c>
      <c r="U403" s="11">
        <v>1</v>
      </c>
    </row>
    <row r="404" spans="1:41">
      <c r="A404"/>
      <c r="B404"/>
      <c r="C404" s="12" t="s">
        <v>17</v>
      </c>
      <c r="D404" s="5">
        <v>4</v>
      </c>
      <c r="E404" s="6">
        <v>65</v>
      </c>
      <c r="F404" s="7">
        <v>43</v>
      </c>
      <c r="G404" s="9">
        <v>2</v>
      </c>
      <c r="H404" s="10">
        <v>28</v>
      </c>
      <c r="I404" s="11">
        <v>22</v>
      </c>
      <c r="J404" s="5">
        <v>2.25</v>
      </c>
      <c r="K404" s="6">
        <v>49.74</v>
      </c>
      <c r="L404" s="7">
        <v>39.89</v>
      </c>
      <c r="M404" s="9">
        <v>1.25</v>
      </c>
      <c r="N404" s="10">
        <v>23.15</v>
      </c>
      <c r="O404" s="11">
        <v>17.2</v>
      </c>
      <c r="P404" s="5">
        <v>6</v>
      </c>
      <c r="Q404" s="6">
        <v>121</v>
      </c>
      <c r="R404" s="7">
        <v>95</v>
      </c>
      <c r="S404" s="9">
        <v>3</v>
      </c>
      <c r="T404" s="10">
        <v>56</v>
      </c>
      <c r="U404" s="11">
        <v>42</v>
      </c>
    </row>
    <row r="405" spans="1:41">
      <c r="A405"/>
      <c r="B405"/>
      <c r="C405" s="12" t="s">
        <v>20</v>
      </c>
      <c r="D405" s="5">
        <v>0</v>
      </c>
      <c r="E405" s="6">
        <v>5</v>
      </c>
      <c r="F405" s="7">
        <v>0</v>
      </c>
      <c r="G405" s="9">
        <v>0</v>
      </c>
      <c r="H405" s="10">
        <v>1</v>
      </c>
      <c r="I405" s="11">
        <v>0</v>
      </c>
      <c r="J405" s="5">
        <v>0</v>
      </c>
      <c r="K405" s="6">
        <v>4.75</v>
      </c>
      <c r="L405" s="7">
        <v>0</v>
      </c>
      <c r="M405" s="9">
        <v>0</v>
      </c>
      <c r="N405" s="10">
        <v>1</v>
      </c>
      <c r="O405" s="11">
        <v>0</v>
      </c>
      <c r="P405" s="5">
        <v>0</v>
      </c>
      <c r="Q405" s="6">
        <v>10</v>
      </c>
      <c r="R405" s="7">
        <v>0</v>
      </c>
      <c r="S405" s="9">
        <v>0</v>
      </c>
      <c r="T405" s="10">
        <v>2</v>
      </c>
      <c r="U405" s="11">
        <v>0</v>
      </c>
    </row>
    <row r="406" spans="1:41">
      <c r="A406"/>
      <c r="B406"/>
      <c r="C406" s="12" t="s">
        <v>36</v>
      </c>
      <c r="D406" s="5">
        <v>0</v>
      </c>
      <c r="E406" s="6">
        <v>8</v>
      </c>
      <c r="F406" s="7">
        <v>5</v>
      </c>
      <c r="G406" s="9">
        <v>0</v>
      </c>
      <c r="H406" s="10">
        <v>7</v>
      </c>
      <c r="I406" s="11">
        <v>5</v>
      </c>
      <c r="J406" s="5">
        <v>0</v>
      </c>
      <c r="K406" s="6">
        <v>5.43</v>
      </c>
      <c r="L406" s="7">
        <v>2.75</v>
      </c>
      <c r="M406" s="9">
        <v>0</v>
      </c>
      <c r="N406" s="10">
        <v>3.33</v>
      </c>
      <c r="O406" s="11">
        <v>3.67</v>
      </c>
      <c r="P406" s="5">
        <v>0</v>
      </c>
      <c r="Q406" s="6">
        <v>12</v>
      </c>
      <c r="R406" s="7">
        <v>7</v>
      </c>
      <c r="S406" s="9">
        <v>0</v>
      </c>
      <c r="T406" s="10">
        <v>10</v>
      </c>
      <c r="U406" s="11">
        <v>8</v>
      </c>
    </row>
    <row r="407" spans="1:41">
      <c r="A407"/>
      <c r="B407"/>
      <c r="C407" s="12" t="s">
        <v>37</v>
      </c>
      <c r="D407" s="5">
        <v>0</v>
      </c>
      <c r="E407" s="6">
        <v>6</v>
      </c>
      <c r="F407" s="7">
        <v>5</v>
      </c>
      <c r="G407" s="9">
        <v>0</v>
      </c>
      <c r="H407" s="10">
        <v>6</v>
      </c>
      <c r="I407" s="11">
        <v>3</v>
      </c>
      <c r="J407" s="5">
        <v>0</v>
      </c>
      <c r="K407" s="6">
        <v>10.22</v>
      </c>
      <c r="L407" s="7">
        <v>4.26</v>
      </c>
      <c r="M407" s="9">
        <v>0</v>
      </c>
      <c r="N407" s="10">
        <v>5.25</v>
      </c>
      <c r="O407" s="11">
        <v>1.61</v>
      </c>
      <c r="P407" s="5">
        <v>0</v>
      </c>
      <c r="Q407" s="6">
        <v>22</v>
      </c>
      <c r="R407" s="7">
        <v>10</v>
      </c>
      <c r="S407" s="9">
        <v>0</v>
      </c>
      <c r="T407" s="10">
        <v>11</v>
      </c>
      <c r="U407" s="11">
        <v>4</v>
      </c>
    </row>
    <row r="408" spans="1:41">
      <c r="C408" s="13" t="s">
        <v>26</v>
      </c>
      <c r="D408" s="13" t="str">
        <f>SUM(D402:D407)</f>
        <v>0</v>
      </c>
      <c r="E408" s="13" t="str">
        <f>SUM(E402:E407)</f>
        <v>0</v>
      </c>
      <c r="F408" s="13" t="str">
        <f>SUM(F402:F407)</f>
        <v>0</v>
      </c>
      <c r="G408" s="13" t="str">
        <f>SUM(G402:G407)</f>
        <v>0</v>
      </c>
      <c r="H408" s="13" t="str">
        <f>SUM(H402:H407)</f>
        <v>0</v>
      </c>
      <c r="I408" s="13" t="str">
        <f>SUM(I402:I407)</f>
        <v>0</v>
      </c>
      <c r="J408" s="13" t="str">
        <f>SUM(J402:J407)</f>
        <v>0</v>
      </c>
      <c r="K408" s="13" t="str">
        <f>SUM(K402:K407)</f>
        <v>0</v>
      </c>
      <c r="L408" s="13" t="str">
        <f>SUM(L402:L407)</f>
        <v>0</v>
      </c>
      <c r="M408" s="13" t="str">
        <f>SUM(M402:M407)</f>
        <v>0</v>
      </c>
      <c r="N408" s="13" t="str">
        <f>SUM(N402:N407)</f>
        <v>0</v>
      </c>
      <c r="O408" s="13" t="str">
        <f>SUM(O402:O407)</f>
        <v>0</v>
      </c>
      <c r="P408" s="13" t="str">
        <f>SUM(P402:P407)</f>
        <v>0</v>
      </c>
      <c r="Q408" s="13" t="str">
        <f>SUM(Q402:Q407)</f>
        <v>0</v>
      </c>
      <c r="R408" s="13" t="str">
        <f>SUM(R402:R407)</f>
        <v>0</v>
      </c>
      <c r="S408" s="13" t="str">
        <f>SUM(S402:S407)</f>
        <v>0</v>
      </c>
      <c r="T408" s="13" t="str">
        <f>SUM(T402:T407)</f>
        <v>0</v>
      </c>
      <c r="U408" s="13" t="str">
        <f>SUM(U402:U407)</f>
        <v>0</v>
      </c>
    </row>
    <row r="409" spans="1:41">
      <c r="A409" s="9" t="s">
        <v>121</v>
      </c>
      <c r="B409" s="11" t="s">
        <v>122</v>
      </c>
      <c r="C409" s="12" t="s">
        <v>30</v>
      </c>
      <c r="D409" s="5">
        <v>13</v>
      </c>
      <c r="E409" s="6">
        <v>237</v>
      </c>
      <c r="F409" s="7">
        <v>124</v>
      </c>
      <c r="G409" s="9">
        <v>6</v>
      </c>
      <c r="H409" s="10">
        <v>140</v>
      </c>
      <c r="I409" s="11">
        <v>106</v>
      </c>
      <c r="J409" s="5">
        <v>20.16</v>
      </c>
      <c r="K409" s="6">
        <v>294.87</v>
      </c>
      <c r="L409" s="7">
        <v>154.96</v>
      </c>
      <c r="M409" s="9">
        <v>2.95</v>
      </c>
      <c r="N409" s="10">
        <v>148.89</v>
      </c>
      <c r="O409" s="11">
        <v>109.99</v>
      </c>
      <c r="P409" s="5">
        <v>43</v>
      </c>
      <c r="Q409" s="6">
        <v>656</v>
      </c>
      <c r="R409" s="7">
        <v>342</v>
      </c>
      <c r="S409" s="9">
        <v>9</v>
      </c>
      <c r="T409" s="10">
        <v>337</v>
      </c>
      <c r="U409" s="11">
        <v>248</v>
      </c>
    </row>
    <row r="410" spans="1:41">
      <c r="A410"/>
      <c r="B410"/>
      <c r="C410" s="12" t="s">
        <v>43</v>
      </c>
      <c r="D410" s="5">
        <v>9</v>
      </c>
      <c r="E410" s="6">
        <v>111</v>
      </c>
      <c r="F410" s="7">
        <v>44</v>
      </c>
      <c r="G410" s="9">
        <v>3</v>
      </c>
      <c r="H410" s="10">
        <v>53</v>
      </c>
      <c r="I410" s="11">
        <v>30</v>
      </c>
      <c r="J410" s="5">
        <v>7.6</v>
      </c>
      <c r="K410" s="6">
        <v>150.35</v>
      </c>
      <c r="L410" s="7">
        <v>52.55</v>
      </c>
      <c r="M410" s="9">
        <v>3.49</v>
      </c>
      <c r="N410" s="10">
        <v>66.65</v>
      </c>
      <c r="O410" s="11">
        <v>36.46</v>
      </c>
      <c r="P410" s="5">
        <v>18</v>
      </c>
      <c r="Q410" s="6">
        <v>326</v>
      </c>
      <c r="R410" s="7">
        <v>122</v>
      </c>
      <c r="S410" s="9">
        <v>8</v>
      </c>
      <c r="T410" s="10">
        <v>148</v>
      </c>
      <c r="U410" s="11">
        <v>82</v>
      </c>
    </row>
    <row r="411" spans="1:41">
      <c r="A411"/>
      <c r="B411"/>
      <c r="C411" s="12" t="s">
        <v>16</v>
      </c>
      <c r="D411" s="5">
        <v>22</v>
      </c>
      <c r="E411" s="6">
        <v>383</v>
      </c>
      <c r="F411" s="7">
        <v>172</v>
      </c>
      <c r="G411" s="9">
        <v>13</v>
      </c>
      <c r="H411" s="10">
        <v>275</v>
      </c>
      <c r="I411" s="11">
        <v>157</v>
      </c>
      <c r="J411" s="5">
        <v>29.1</v>
      </c>
      <c r="K411" s="6">
        <v>461.06</v>
      </c>
      <c r="L411" s="7">
        <v>231.39</v>
      </c>
      <c r="M411" s="9">
        <v>12.99</v>
      </c>
      <c r="N411" s="10">
        <v>252.03</v>
      </c>
      <c r="O411" s="11">
        <v>175.36</v>
      </c>
      <c r="P411" s="5">
        <v>62</v>
      </c>
      <c r="Q411" s="6">
        <v>1037</v>
      </c>
      <c r="R411" s="7">
        <v>512</v>
      </c>
      <c r="S411" s="9">
        <v>30</v>
      </c>
      <c r="T411" s="10">
        <v>584</v>
      </c>
      <c r="U411" s="11">
        <v>387</v>
      </c>
    </row>
    <row r="412" spans="1:41">
      <c r="A412"/>
      <c r="B412"/>
      <c r="C412" s="12" t="s">
        <v>17</v>
      </c>
      <c r="D412" s="5">
        <v>9</v>
      </c>
      <c r="E412" s="6">
        <v>221</v>
      </c>
      <c r="F412" s="7">
        <v>116</v>
      </c>
      <c r="G412" s="9">
        <v>12</v>
      </c>
      <c r="H412" s="10">
        <v>139</v>
      </c>
      <c r="I412" s="11">
        <v>76</v>
      </c>
      <c r="J412" s="5">
        <v>12.55</v>
      </c>
      <c r="K412" s="6">
        <v>290.74</v>
      </c>
      <c r="L412" s="7">
        <v>157.48</v>
      </c>
      <c r="M412" s="9">
        <v>9.54</v>
      </c>
      <c r="N412" s="10">
        <v>163.38</v>
      </c>
      <c r="O412" s="11">
        <v>99.92</v>
      </c>
      <c r="P412" s="5">
        <v>27</v>
      </c>
      <c r="Q412" s="6">
        <v>640</v>
      </c>
      <c r="R412" s="7">
        <v>344</v>
      </c>
      <c r="S412" s="9">
        <v>21</v>
      </c>
      <c r="T412" s="10">
        <v>362</v>
      </c>
      <c r="U412" s="11">
        <v>219</v>
      </c>
    </row>
    <row r="413" spans="1:41">
      <c r="A413"/>
      <c r="B413"/>
      <c r="C413" s="12" t="s">
        <v>18</v>
      </c>
      <c r="D413" s="5">
        <v>0</v>
      </c>
      <c r="E413" s="6">
        <v>5</v>
      </c>
      <c r="F413" s="7">
        <v>2</v>
      </c>
      <c r="G413" s="9">
        <v>0</v>
      </c>
      <c r="H413" s="10">
        <v>17</v>
      </c>
      <c r="I413" s="11">
        <v>7</v>
      </c>
      <c r="J413" s="5">
        <v>0</v>
      </c>
      <c r="K413" s="6">
        <v>5.69</v>
      </c>
      <c r="L413" s="7">
        <v>1.06</v>
      </c>
      <c r="M413" s="9">
        <v>0</v>
      </c>
      <c r="N413" s="10">
        <v>35.65</v>
      </c>
      <c r="O413" s="11">
        <v>15.3</v>
      </c>
      <c r="P413" s="5">
        <v>0</v>
      </c>
      <c r="Q413" s="6">
        <v>12</v>
      </c>
      <c r="R413" s="7">
        <v>3</v>
      </c>
      <c r="S413" s="9">
        <v>0</v>
      </c>
      <c r="T413" s="10">
        <v>75</v>
      </c>
      <c r="U413" s="11">
        <v>32</v>
      </c>
    </row>
    <row r="414" spans="1:41">
      <c r="A414"/>
      <c r="B414"/>
      <c r="C414" s="12" t="s">
        <v>20</v>
      </c>
      <c r="D414" s="5">
        <v>0</v>
      </c>
      <c r="E414" s="6">
        <v>3</v>
      </c>
      <c r="F414" s="7">
        <v>1</v>
      </c>
      <c r="G414" s="9">
        <v>0</v>
      </c>
      <c r="H414" s="10">
        <v>3</v>
      </c>
      <c r="I414" s="11">
        <v>4</v>
      </c>
      <c r="J414" s="5">
        <v>0</v>
      </c>
      <c r="K414" s="6">
        <v>1</v>
      </c>
      <c r="L414" s="7">
        <v>0.5</v>
      </c>
      <c r="M414" s="9">
        <v>0</v>
      </c>
      <c r="N414" s="10">
        <v>4.3</v>
      </c>
      <c r="O414" s="11">
        <v>3.1</v>
      </c>
      <c r="P414" s="5">
        <v>0</v>
      </c>
      <c r="Q414" s="6">
        <v>3</v>
      </c>
      <c r="R414" s="7">
        <v>1</v>
      </c>
      <c r="S414" s="9">
        <v>0</v>
      </c>
      <c r="T414" s="10">
        <v>10</v>
      </c>
      <c r="U414" s="11">
        <v>8</v>
      </c>
    </row>
    <row r="415" spans="1:41">
      <c r="A415"/>
      <c r="B415"/>
      <c r="C415" s="12" t="s">
        <v>36</v>
      </c>
      <c r="D415" s="5">
        <v>16</v>
      </c>
      <c r="E415" s="6">
        <v>253</v>
      </c>
      <c r="F415" s="7">
        <v>143</v>
      </c>
      <c r="G415" s="9">
        <v>6</v>
      </c>
      <c r="H415" s="10">
        <v>202</v>
      </c>
      <c r="I415" s="11">
        <v>133</v>
      </c>
      <c r="J415" s="5">
        <v>28.31</v>
      </c>
      <c r="K415" s="6">
        <v>338.88</v>
      </c>
      <c r="L415" s="7">
        <v>204.61</v>
      </c>
      <c r="M415" s="9">
        <v>10.62</v>
      </c>
      <c r="N415" s="10">
        <v>245.75</v>
      </c>
      <c r="O415" s="11">
        <v>159.97</v>
      </c>
      <c r="P415" s="5">
        <v>62</v>
      </c>
      <c r="Q415" s="6">
        <v>750</v>
      </c>
      <c r="R415" s="7">
        <v>445</v>
      </c>
      <c r="S415" s="9">
        <v>23</v>
      </c>
      <c r="T415" s="10">
        <v>547</v>
      </c>
      <c r="U415" s="11">
        <v>362</v>
      </c>
    </row>
    <row r="416" spans="1:41">
      <c r="A416"/>
      <c r="B416"/>
      <c r="C416" s="12" t="s">
        <v>37</v>
      </c>
      <c r="D416" s="5">
        <v>2</v>
      </c>
      <c r="E416" s="6">
        <v>28</v>
      </c>
      <c r="F416" s="7">
        <v>8</v>
      </c>
      <c r="G416" s="9">
        <v>4</v>
      </c>
      <c r="H416" s="10">
        <v>12</v>
      </c>
      <c r="I416" s="11">
        <v>8</v>
      </c>
      <c r="J416" s="5">
        <v>10.24</v>
      </c>
      <c r="K416" s="6">
        <v>52.85</v>
      </c>
      <c r="L416" s="7">
        <v>12.25</v>
      </c>
      <c r="M416" s="9">
        <v>7.4</v>
      </c>
      <c r="N416" s="10">
        <v>16.31</v>
      </c>
      <c r="O416" s="11">
        <v>19.07</v>
      </c>
      <c r="P416" s="5">
        <v>21</v>
      </c>
      <c r="Q416" s="6">
        <v>112</v>
      </c>
      <c r="R416" s="7">
        <v>26</v>
      </c>
      <c r="S416" s="9">
        <v>16</v>
      </c>
      <c r="T416" s="10">
        <v>34</v>
      </c>
      <c r="U416" s="11">
        <v>40</v>
      </c>
    </row>
    <row r="417" spans="1:41">
      <c r="A417"/>
      <c r="B417"/>
      <c r="C417" s="12" t="s">
        <v>32</v>
      </c>
      <c r="D417" s="5">
        <v>0</v>
      </c>
      <c r="E417" s="6">
        <v>6</v>
      </c>
      <c r="F417" s="7">
        <v>7</v>
      </c>
      <c r="G417" s="9">
        <v>0</v>
      </c>
      <c r="H417" s="10">
        <v>10</v>
      </c>
      <c r="I417" s="11">
        <v>2</v>
      </c>
      <c r="J417" s="5">
        <v>0</v>
      </c>
      <c r="K417" s="6">
        <v>15.71</v>
      </c>
      <c r="L417" s="7">
        <v>17.66</v>
      </c>
      <c r="M417" s="9">
        <v>0</v>
      </c>
      <c r="N417" s="10">
        <v>21.58</v>
      </c>
      <c r="O417" s="11">
        <v>3.6</v>
      </c>
      <c r="P417" s="5">
        <v>0</v>
      </c>
      <c r="Q417" s="6">
        <v>35</v>
      </c>
      <c r="R417" s="7">
        <v>36</v>
      </c>
      <c r="S417" s="9">
        <v>0</v>
      </c>
      <c r="T417" s="10">
        <v>46</v>
      </c>
      <c r="U417" s="11">
        <v>8</v>
      </c>
    </row>
    <row r="418" spans="1:41">
      <c r="A418"/>
      <c r="B418"/>
      <c r="C418" s="12" t="s">
        <v>23</v>
      </c>
      <c r="D418" s="5">
        <v>0</v>
      </c>
      <c r="E418" s="6">
        <v>0</v>
      </c>
      <c r="F418" s="7">
        <v>0</v>
      </c>
      <c r="G418" s="9">
        <v>0</v>
      </c>
      <c r="H418" s="10">
        <v>0</v>
      </c>
      <c r="I418" s="11">
        <v>0</v>
      </c>
      <c r="J418" s="5">
        <v>0</v>
      </c>
      <c r="K418" s="6">
        <v>0</v>
      </c>
      <c r="L418" s="7">
        <v>0</v>
      </c>
      <c r="M418" s="9">
        <v>0</v>
      </c>
      <c r="N418" s="10">
        <v>0</v>
      </c>
      <c r="O418" s="11">
        <v>0</v>
      </c>
      <c r="P418" s="5">
        <v>0</v>
      </c>
      <c r="Q418" s="6">
        <v>0</v>
      </c>
      <c r="R418" s="7">
        <v>0</v>
      </c>
      <c r="S418" s="9">
        <v>0</v>
      </c>
      <c r="T418" s="10">
        <v>0</v>
      </c>
      <c r="U418" s="11">
        <v>0</v>
      </c>
    </row>
    <row r="419" spans="1:41">
      <c r="C419" s="13" t="s">
        <v>26</v>
      </c>
      <c r="D419" s="13" t="str">
        <f>SUM(D409:D418)</f>
        <v>0</v>
      </c>
      <c r="E419" s="13" t="str">
        <f>SUM(E409:E418)</f>
        <v>0</v>
      </c>
      <c r="F419" s="13" t="str">
        <f>SUM(F409:F418)</f>
        <v>0</v>
      </c>
      <c r="G419" s="13" t="str">
        <f>SUM(G409:G418)</f>
        <v>0</v>
      </c>
      <c r="H419" s="13" t="str">
        <f>SUM(H409:H418)</f>
        <v>0</v>
      </c>
      <c r="I419" s="13" t="str">
        <f>SUM(I409:I418)</f>
        <v>0</v>
      </c>
      <c r="J419" s="13" t="str">
        <f>SUM(J409:J418)</f>
        <v>0</v>
      </c>
      <c r="K419" s="13" t="str">
        <f>SUM(K409:K418)</f>
        <v>0</v>
      </c>
      <c r="L419" s="13" t="str">
        <f>SUM(L409:L418)</f>
        <v>0</v>
      </c>
      <c r="M419" s="13" t="str">
        <f>SUM(M409:M418)</f>
        <v>0</v>
      </c>
      <c r="N419" s="13" t="str">
        <f>SUM(N409:N418)</f>
        <v>0</v>
      </c>
      <c r="O419" s="13" t="str">
        <f>SUM(O409:O418)</f>
        <v>0</v>
      </c>
      <c r="P419" s="13" t="str">
        <f>SUM(P409:P418)</f>
        <v>0</v>
      </c>
      <c r="Q419" s="13" t="str">
        <f>SUM(Q409:Q418)</f>
        <v>0</v>
      </c>
      <c r="R419" s="13" t="str">
        <f>SUM(R409:R418)</f>
        <v>0</v>
      </c>
      <c r="S419" s="13" t="str">
        <f>SUM(S409:S418)</f>
        <v>0</v>
      </c>
      <c r="T419" s="13" t="str">
        <f>SUM(T409:T418)</f>
        <v>0</v>
      </c>
      <c r="U419" s="13" t="str">
        <f>SUM(U409:U418)</f>
        <v>0</v>
      </c>
    </row>
    <row r="420" spans="1:41">
      <c r="A420"/>
      <c r="B420" s="14" t="s">
        <v>123</v>
      </c>
      <c r="C420" s="12" t="s">
        <v>30</v>
      </c>
      <c r="D420" s="5">
        <v>9</v>
      </c>
      <c r="E420" s="6">
        <v>125</v>
      </c>
      <c r="F420" s="7">
        <v>74</v>
      </c>
      <c r="G420" s="9">
        <v>2</v>
      </c>
      <c r="H420" s="10">
        <v>91</v>
      </c>
      <c r="I420" s="11">
        <v>93</v>
      </c>
      <c r="J420" s="5">
        <v>11.49</v>
      </c>
      <c r="K420" s="6">
        <v>211.94</v>
      </c>
      <c r="L420" s="7">
        <v>117.1</v>
      </c>
      <c r="M420" s="9">
        <v>13</v>
      </c>
      <c r="N420" s="10">
        <v>138.74</v>
      </c>
      <c r="O420" s="11">
        <v>135.4</v>
      </c>
      <c r="P420" s="5">
        <v>25</v>
      </c>
      <c r="Q420" s="6">
        <v>455</v>
      </c>
      <c r="R420" s="7">
        <v>256</v>
      </c>
      <c r="S420" s="9">
        <v>26</v>
      </c>
      <c r="T420" s="10">
        <v>306</v>
      </c>
      <c r="U420" s="11">
        <v>298</v>
      </c>
    </row>
    <row r="421" spans="1:41">
      <c r="A421"/>
      <c r="B421"/>
      <c r="C421" s="12" t="s">
        <v>43</v>
      </c>
      <c r="D421" s="5">
        <v>0</v>
      </c>
      <c r="E421" s="6">
        <v>11</v>
      </c>
      <c r="F421" s="7">
        <v>8</v>
      </c>
      <c r="G421" s="9">
        <v>0</v>
      </c>
      <c r="H421" s="10">
        <v>8</v>
      </c>
      <c r="I421" s="11">
        <v>4</v>
      </c>
      <c r="J421" s="5">
        <v>0</v>
      </c>
      <c r="K421" s="6">
        <v>19.08</v>
      </c>
      <c r="L421" s="7">
        <v>12.66</v>
      </c>
      <c r="M421" s="9">
        <v>0</v>
      </c>
      <c r="N421" s="10">
        <v>23.16</v>
      </c>
      <c r="O421" s="11">
        <v>6.1</v>
      </c>
      <c r="P421" s="5">
        <v>0</v>
      </c>
      <c r="Q421" s="6">
        <v>41</v>
      </c>
      <c r="R421" s="7">
        <v>28</v>
      </c>
      <c r="S421" s="9">
        <v>0</v>
      </c>
      <c r="T421" s="10">
        <v>50</v>
      </c>
      <c r="U421" s="11">
        <v>14</v>
      </c>
    </row>
    <row r="422" spans="1:41">
      <c r="A422"/>
      <c r="B422"/>
      <c r="C422" s="12" t="s">
        <v>16</v>
      </c>
      <c r="D422" s="5">
        <v>13</v>
      </c>
      <c r="E422" s="6">
        <v>231</v>
      </c>
      <c r="F422" s="7">
        <v>135</v>
      </c>
      <c r="G422" s="9">
        <v>9</v>
      </c>
      <c r="H422" s="10">
        <v>111</v>
      </c>
      <c r="I422" s="11">
        <v>121</v>
      </c>
      <c r="J422" s="5">
        <v>35.57</v>
      </c>
      <c r="K422" s="6">
        <v>337.07</v>
      </c>
      <c r="L422" s="7">
        <v>192.48</v>
      </c>
      <c r="M422" s="9">
        <v>18.78</v>
      </c>
      <c r="N422" s="10">
        <v>136</v>
      </c>
      <c r="O422" s="11">
        <v>185.92</v>
      </c>
      <c r="P422" s="5">
        <v>73</v>
      </c>
      <c r="Q422" s="6">
        <v>746</v>
      </c>
      <c r="R422" s="7">
        <v>431</v>
      </c>
      <c r="S422" s="9">
        <v>40</v>
      </c>
      <c r="T422" s="10">
        <v>307</v>
      </c>
      <c r="U422" s="11">
        <v>407</v>
      </c>
    </row>
    <row r="423" spans="1:41">
      <c r="A423"/>
      <c r="B423"/>
      <c r="C423" s="12" t="s">
        <v>17</v>
      </c>
      <c r="D423" s="5">
        <v>14</v>
      </c>
      <c r="E423" s="6">
        <v>289</v>
      </c>
      <c r="F423" s="7">
        <v>216</v>
      </c>
      <c r="G423" s="9">
        <v>7</v>
      </c>
      <c r="H423" s="10">
        <v>241</v>
      </c>
      <c r="I423" s="11">
        <v>265</v>
      </c>
      <c r="J423" s="5">
        <v>24.89</v>
      </c>
      <c r="K423" s="6">
        <v>513.8</v>
      </c>
      <c r="L423" s="7">
        <v>333.22</v>
      </c>
      <c r="M423" s="9">
        <v>12.83</v>
      </c>
      <c r="N423" s="10">
        <v>364.59</v>
      </c>
      <c r="O423" s="11">
        <v>343.61</v>
      </c>
      <c r="P423" s="5">
        <v>53</v>
      </c>
      <c r="Q423" s="6">
        <v>1110</v>
      </c>
      <c r="R423" s="7">
        <v>738</v>
      </c>
      <c r="S423" s="9">
        <v>29</v>
      </c>
      <c r="T423" s="10">
        <v>813</v>
      </c>
      <c r="U423" s="11">
        <v>772</v>
      </c>
    </row>
    <row r="424" spans="1:41">
      <c r="A424"/>
      <c r="B424"/>
      <c r="C424" s="12" t="s">
        <v>18</v>
      </c>
      <c r="D424" s="5">
        <v>2</v>
      </c>
      <c r="E424" s="6">
        <v>56</v>
      </c>
      <c r="F424" s="7">
        <v>42</v>
      </c>
      <c r="G424" s="9">
        <v>1</v>
      </c>
      <c r="H424" s="10">
        <v>37</v>
      </c>
      <c r="I424" s="11">
        <v>40</v>
      </c>
      <c r="J424" s="5">
        <v>5.5</v>
      </c>
      <c r="K424" s="6">
        <v>87.94</v>
      </c>
      <c r="L424" s="7">
        <v>74.61</v>
      </c>
      <c r="M424" s="9">
        <v>1.66</v>
      </c>
      <c r="N424" s="10">
        <v>34.34</v>
      </c>
      <c r="O424" s="11">
        <v>48.97</v>
      </c>
      <c r="P424" s="5">
        <v>12</v>
      </c>
      <c r="Q424" s="6">
        <v>189</v>
      </c>
      <c r="R424" s="7">
        <v>160</v>
      </c>
      <c r="S424" s="9">
        <v>4</v>
      </c>
      <c r="T424" s="10">
        <v>83</v>
      </c>
      <c r="U424" s="11">
        <v>110</v>
      </c>
    </row>
    <row r="425" spans="1:41">
      <c r="A425"/>
      <c r="B425"/>
      <c r="C425" s="12" t="s">
        <v>36</v>
      </c>
      <c r="D425" s="5">
        <v>6</v>
      </c>
      <c r="E425" s="6">
        <v>205</v>
      </c>
      <c r="F425" s="7">
        <v>121</v>
      </c>
      <c r="G425" s="9">
        <v>8</v>
      </c>
      <c r="H425" s="10">
        <v>152</v>
      </c>
      <c r="I425" s="11">
        <v>127</v>
      </c>
      <c r="J425" s="5">
        <v>10</v>
      </c>
      <c r="K425" s="6">
        <v>325.31</v>
      </c>
      <c r="L425" s="7">
        <v>192.57</v>
      </c>
      <c r="M425" s="9">
        <v>13.25</v>
      </c>
      <c r="N425" s="10">
        <v>196.53</v>
      </c>
      <c r="O425" s="11">
        <v>161.23</v>
      </c>
      <c r="P425" s="5">
        <v>20</v>
      </c>
      <c r="Q425" s="6">
        <v>711</v>
      </c>
      <c r="R425" s="7">
        <v>418</v>
      </c>
      <c r="S425" s="9">
        <v>27</v>
      </c>
      <c r="T425" s="10">
        <v>440</v>
      </c>
      <c r="U425" s="11">
        <v>360</v>
      </c>
    </row>
    <row r="426" spans="1:41">
      <c r="A426"/>
      <c r="B426"/>
      <c r="C426" s="12" t="s">
        <v>37</v>
      </c>
      <c r="D426" s="5">
        <v>2</v>
      </c>
      <c r="E426" s="6">
        <v>54</v>
      </c>
      <c r="F426" s="7">
        <v>48</v>
      </c>
      <c r="G426" s="9">
        <v>2</v>
      </c>
      <c r="H426" s="10">
        <v>46</v>
      </c>
      <c r="I426" s="11">
        <v>70</v>
      </c>
      <c r="J426" s="5">
        <v>2.2</v>
      </c>
      <c r="K426" s="6">
        <v>72.96</v>
      </c>
      <c r="L426" s="7">
        <v>51.39</v>
      </c>
      <c r="M426" s="9">
        <v>2.1</v>
      </c>
      <c r="N426" s="10">
        <v>43.22</v>
      </c>
      <c r="O426" s="11">
        <v>67.53</v>
      </c>
      <c r="P426" s="5">
        <v>5</v>
      </c>
      <c r="Q426" s="6">
        <v>168</v>
      </c>
      <c r="R426" s="7">
        <v>121</v>
      </c>
      <c r="S426" s="9">
        <v>5</v>
      </c>
      <c r="T426" s="10">
        <v>103</v>
      </c>
      <c r="U426" s="11">
        <v>157</v>
      </c>
    </row>
    <row r="427" spans="1:41">
      <c r="A427"/>
      <c r="B427"/>
      <c r="C427" s="12" t="s">
        <v>23</v>
      </c>
      <c r="D427" s="5">
        <v>0</v>
      </c>
      <c r="E427" s="6">
        <v>18</v>
      </c>
      <c r="F427" s="7">
        <v>20</v>
      </c>
      <c r="G427" s="9">
        <v>0</v>
      </c>
      <c r="H427" s="10">
        <v>13</v>
      </c>
      <c r="I427" s="11">
        <v>7</v>
      </c>
      <c r="J427" s="5">
        <v>0</v>
      </c>
      <c r="K427" s="6">
        <v>31.59</v>
      </c>
      <c r="L427" s="7">
        <v>37.45</v>
      </c>
      <c r="M427" s="9">
        <v>0</v>
      </c>
      <c r="N427" s="10">
        <v>15.82</v>
      </c>
      <c r="O427" s="11">
        <v>7</v>
      </c>
      <c r="P427" s="5">
        <v>0</v>
      </c>
      <c r="Q427" s="6">
        <v>66</v>
      </c>
      <c r="R427" s="7">
        <v>80</v>
      </c>
      <c r="S427" s="9">
        <v>0</v>
      </c>
      <c r="T427" s="10">
        <v>35</v>
      </c>
      <c r="U427" s="11">
        <v>16</v>
      </c>
    </row>
    <row r="428" spans="1:41">
      <c r="C428" s="13" t="s">
        <v>26</v>
      </c>
      <c r="D428" s="13" t="str">
        <f>SUM(D420:D427)</f>
        <v>0</v>
      </c>
      <c r="E428" s="13" t="str">
        <f>SUM(E420:E427)</f>
        <v>0</v>
      </c>
      <c r="F428" s="13" t="str">
        <f>SUM(F420:F427)</f>
        <v>0</v>
      </c>
      <c r="G428" s="13" t="str">
        <f>SUM(G420:G427)</f>
        <v>0</v>
      </c>
      <c r="H428" s="13" t="str">
        <f>SUM(H420:H427)</f>
        <v>0</v>
      </c>
      <c r="I428" s="13" t="str">
        <f>SUM(I420:I427)</f>
        <v>0</v>
      </c>
      <c r="J428" s="13" t="str">
        <f>SUM(J420:J427)</f>
        <v>0</v>
      </c>
      <c r="K428" s="13" t="str">
        <f>SUM(K420:K427)</f>
        <v>0</v>
      </c>
      <c r="L428" s="13" t="str">
        <f>SUM(L420:L427)</f>
        <v>0</v>
      </c>
      <c r="M428" s="13" t="str">
        <f>SUM(M420:M427)</f>
        <v>0</v>
      </c>
      <c r="N428" s="13" t="str">
        <f>SUM(N420:N427)</f>
        <v>0</v>
      </c>
      <c r="O428" s="13" t="str">
        <f>SUM(O420:O427)</f>
        <v>0</v>
      </c>
      <c r="P428" s="13" t="str">
        <f>SUM(P420:P427)</f>
        <v>0</v>
      </c>
      <c r="Q428" s="13" t="str">
        <f>SUM(Q420:Q427)</f>
        <v>0</v>
      </c>
      <c r="R428" s="13" t="str">
        <f>SUM(R420:R427)</f>
        <v>0</v>
      </c>
      <c r="S428" s="13" t="str">
        <f>SUM(S420:S427)</f>
        <v>0</v>
      </c>
      <c r="T428" s="13" t="str">
        <f>SUM(T420:T427)</f>
        <v>0</v>
      </c>
      <c r="U428" s="13" t="str">
        <f>SUM(U420:U427)</f>
        <v>0</v>
      </c>
    </row>
    <row r="429" spans="1:41">
      <c r="A429"/>
      <c r="B429" s="14" t="s">
        <v>124</v>
      </c>
      <c r="C429" s="12" t="s">
        <v>30</v>
      </c>
      <c r="D429" s="5">
        <v>9</v>
      </c>
      <c r="E429" s="6">
        <v>217</v>
      </c>
      <c r="F429" s="7">
        <v>132</v>
      </c>
      <c r="G429" s="9">
        <v>6</v>
      </c>
      <c r="H429" s="10">
        <v>124</v>
      </c>
      <c r="I429" s="11">
        <v>70</v>
      </c>
      <c r="J429" s="5">
        <v>8.84</v>
      </c>
      <c r="K429" s="6">
        <v>323.99</v>
      </c>
      <c r="L429" s="7">
        <v>229.31</v>
      </c>
      <c r="M429" s="9">
        <v>7.53</v>
      </c>
      <c r="N429" s="10">
        <v>169.71</v>
      </c>
      <c r="O429" s="11">
        <v>87.22</v>
      </c>
      <c r="P429" s="5">
        <v>21</v>
      </c>
      <c r="Q429" s="6">
        <v>714</v>
      </c>
      <c r="R429" s="7">
        <v>501</v>
      </c>
      <c r="S429" s="9">
        <v>17</v>
      </c>
      <c r="T429" s="10">
        <v>380</v>
      </c>
      <c r="U429" s="11">
        <v>198</v>
      </c>
    </row>
    <row r="430" spans="1:41">
      <c r="A430"/>
      <c r="B430"/>
      <c r="C430" s="12" t="s">
        <v>43</v>
      </c>
      <c r="D430" s="5">
        <v>0</v>
      </c>
      <c r="E430" s="6">
        <v>8</v>
      </c>
      <c r="F430" s="7">
        <v>5</v>
      </c>
      <c r="G430" s="9">
        <v>0</v>
      </c>
      <c r="H430" s="10">
        <v>6</v>
      </c>
      <c r="I430" s="11">
        <v>7</v>
      </c>
      <c r="J430" s="5">
        <v>0</v>
      </c>
      <c r="K430" s="6">
        <v>6.85</v>
      </c>
      <c r="L430" s="7">
        <v>6.43</v>
      </c>
      <c r="M430" s="9">
        <v>0</v>
      </c>
      <c r="N430" s="10">
        <v>7.44</v>
      </c>
      <c r="O430" s="11">
        <v>7.89</v>
      </c>
      <c r="P430" s="5">
        <v>0</v>
      </c>
      <c r="Q430" s="6">
        <v>16</v>
      </c>
      <c r="R430" s="7">
        <v>15</v>
      </c>
      <c r="S430" s="9">
        <v>0</v>
      </c>
      <c r="T430" s="10">
        <v>17</v>
      </c>
      <c r="U430" s="11">
        <v>18</v>
      </c>
    </row>
    <row r="431" spans="1:41">
      <c r="A431"/>
      <c r="B431"/>
      <c r="C431" s="12" t="s">
        <v>16</v>
      </c>
      <c r="D431" s="5">
        <v>5</v>
      </c>
      <c r="E431" s="6">
        <v>125</v>
      </c>
      <c r="F431" s="7">
        <v>69</v>
      </c>
      <c r="G431" s="9">
        <v>3</v>
      </c>
      <c r="H431" s="10">
        <v>68</v>
      </c>
      <c r="I431" s="11">
        <v>75</v>
      </c>
      <c r="J431" s="5">
        <v>3.39</v>
      </c>
      <c r="K431" s="6">
        <v>169.47</v>
      </c>
      <c r="L431" s="7">
        <v>101.61</v>
      </c>
      <c r="M431" s="9">
        <v>2.33</v>
      </c>
      <c r="N431" s="10">
        <v>81.62</v>
      </c>
      <c r="O431" s="11">
        <v>90.78</v>
      </c>
      <c r="P431" s="5">
        <v>8</v>
      </c>
      <c r="Q431" s="6">
        <v>368</v>
      </c>
      <c r="R431" s="7">
        <v>218</v>
      </c>
      <c r="S431" s="9">
        <v>6</v>
      </c>
      <c r="T431" s="10">
        <v>183</v>
      </c>
      <c r="U431" s="11">
        <v>201</v>
      </c>
    </row>
    <row r="432" spans="1:41">
      <c r="A432"/>
      <c r="B432"/>
      <c r="C432" s="12" t="s">
        <v>17</v>
      </c>
      <c r="D432" s="5">
        <v>1</v>
      </c>
      <c r="E432" s="6">
        <v>79</v>
      </c>
      <c r="F432" s="7">
        <v>53</v>
      </c>
      <c r="G432" s="9">
        <v>2</v>
      </c>
      <c r="H432" s="10">
        <v>59</v>
      </c>
      <c r="I432" s="11">
        <v>43</v>
      </c>
      <c r="J432" s="5">
        <v>1.6</v>
      </c>
      <c r="K432" s="6">
        <v>102.13</v>
      </c>
      <c r="L432" s="7">
        <v>64.35</v>
      </c>
      <c r="M432" s="9">
        <v>1.8</v>
      </c>
      <c r="N432" s="10">
        <v>77.59</v>
      </c>
      <c r="O432" s="11">
        <v>44.73</v>
      </c>
      <c r="P432" s="5">
        <v>4</v>
      </c>
      <c r="Q432" s="6">
        <v>228</v>
      </c>
      <c r="R432" s="7">
        <v>144</v>
      </c>
      <c r="S432" s="9">
        <v>4</v>
      </c>
      <c r="T432" s="10">
        <v>171</v>
      </c>
      <c r="U432" s="11">
        <v>103</v>
      </c>
    </row>
    <row r="433" spans="1:41">
      <c r="A433"/>
      <c r="B433"/>
      <c r="C433" s="12" t="s">
        <v>20</v>
      </c>
      <c r="D433" s="5">
        <v>4</v>
      </c>
      <c r="E433" s="6">
        <v>68</v>
      </c>
      <c r="F433" s="7">
        <v>39</v>
      </c>
      <c r="G433" s="9">
        <v>2</v>
      </c>
      <c r="H433" s="10">
        <v>44</v>
      </c>
      <c r="I433" s="11">
        <v>15</v>
      </c>
      <c r="J433" s="5">
        <v>5.58</v>
      </c>
      <c r="K433" s="6">
        <v>113.93</v>
      </c>
      <c r="L433" s="7">
        <v>55.55</v>
      </c>
      <c r="M433" s="9">
        <v>2.76</v>
      </c>
      <c r="N433" s="10">
        <v>79.23</v>
      </c>
      <c r="O433" s="11">
        <v>17.56</v>
      </c>
      <c r="P433" s="5">
        <v>13</v>
      </c>
      <c r="Q433" s="6">
        <v>249</v>
      </c>
      <c r="R433" s="7">
        <v>121</v>
      </c>
      <c r="S433" s="9">
        <v>7</v>
      </c>
      <c r="T433" s="10">
        <v>171</v>
      </c>
      <c r="U433" s="11">
        <v>39</v>
      </c>
    </row>
    <row r="434" spans="1:41">
      <c r="A434"/>
      <c r="B434"/>
      <c r="C434" s="12" t="s">
        <v>36</v>
      </c>
      <c r="D434" s="5">
        <v>1</v>
      </c>
      <c r="E434" s="6">
        <v>73</v>
      </c>
      <c r="F434" s="7">
        <v>44</v>
      </c>
      <c r="G434" s="9">
        <v>0</v>
      </c>
      <c r="H434" s="10">
        <v>31</v>
      </c>
      <c r="I434" s="11">
        <v>35</v>
      </c>
      <c r="J434" s="5">
        <v>1</v>
      </c>
      <c r="K434" s="6">
        <v>94.74</v>
      </c>
      <c r="L434" s="7">
        <v>64.44</v>
      </c>
      <c r="M434" s="9">
        <v>0</v>
      </c>
      <c r="N434" s="10">
        <v>34.47</v>
      </c>
      <c r="O434" s="11">
        <v>40.34</v>
      </c>
      <c r="P434" s="5">
        <v>2</v>
      </c>
      <c r="Q434" s="6">
        <v>214</v>
      </c>
      <c r="R434" s="7">
        <v>141</v>
      </c>
      <c r="S434" s="9">
        <v>0</v>
      </c>
      <c r="T434" s="10">
        <v>78</v>
      </c>
      <c r="U434" s="11">
        <v>93</v>
      </c>
    </row>
    <row r="435" spans="1:41">
      <c r="C435" s="13" t="s">
        <v>26</v>
      </c>
      <c r="D435" s="13" t="str">
        <f>SUM(D429:D434)</f>
        <v>0</v>
      </c>
      <c r="E435" s="13" t="str">
        <f>SUM(E429:E434)</f>
        <v>0</v>
      </c>
      <c r="F435" s="13" t="str">
        <f>SUM(F429:F434)</f>
        <v>0</v>
      </c>
      <c r="G435" s="13" t="str">
        <f>SUM(G429:G434)</f>
        <v>0</v>
      </c>
      <c r="H435" s="13" t="str">
        <f>SUM(H429:H434)</f>
        <v>0</v>
      </c>
      <c r="I435" s="13" t="str">
        <f>SUM(I429:I434)</f>
        <v>0</v>
      </c>
      <c r="J435" s="13" t="str">
        <f>SUM(J429:J434)</f>
        <v>0</v>
      </c>
      <c r="K435" s="13" t="str">
        <f>SUM(K429:K434)</f>
        <v>0</v>
      </c>
      <c r="L435" s="13" t="str">
        <f>SUM(L429:L434)</f>
        <v>0</v>
      </c>
      <c r="M435" s="13" t="str">
        <f>SUM(M429:M434)</f>
        <v>0</v>
      </c>
      <c r="N435" s="13" t="str">
        <f>SUM(N429:N434)</f>
        <v>0</v>
      </c>
      <c r="O435" s="13" t="str">
        <f>SUM(O429:O434)</f>
        <v>0</v>
      </c>
      <c r="P435" s="13" t="str">
        <f>SUM(P429:P434)</f>
        <v>0</v>
      </c>
      <c r="Q435" s="13" t="str">
        <f>SUM(Q429:Q434)</f>
        <v>0</v>
      </c>
      <c r="R435" s="13" t="str">
        <f>SUM(R429:R434)</f>
        <v>0</v>
      </c>
      <c r="S435" s="13" t="str">
        <f>SUM(S429:S434)</f>
        <v>0</v>
      </c>
      <c r="T435" s="13" t="str">
        <f>SUM(T429:T434)</f>
        <v>0</v>
      </c>
      <c r="U435" s="13" t="str">
        <f>SUM(U429:U434)</f>
        <v>0</v>
      </c>
    </row>
    <row r="436" spans="1:41">
      <c r="A436"/>
      <c r="B436" s="14" t="s">
        <v>125</v>
      </c>
      <c r="C436" s="12" t="s">
        <v>30</v>
      </c>
      <c r="D436" s="5">
        <v>9</v>
      </c>
      <c r="E436" s="6">
        <v>80</v>
      </c>
      <c r="F436" s="7">
        <v>39</v>
      </c>
      <c r="G436" s="9">
        <v>3</v>
      </c>
      <c r="H436" s="10">
        <v>67</v>
      </c>
      <c r="I436" s="11">
        <v>32</v>
      </c>
      <c r="J436" s="5">
        <v>21.52</v>
      </c>
      <c r="K436" s="6">
        <v>107.34</v>
      </c>
      <c r="L436" s="7">
        <v>38.06</v>
      </c>
      <c r="M436" s="9">
        <v>8.75</v>
      </c>
      <c r="N436" s="10">
        <v>70.78</v>
      </c>
      <c r="O436" s="11">
        <v>37.32</v>
      </c>
      <c r="P436" s="5">
        <v>46</v>
      </c>
      <c r="Q436" s="6">
        <v>242</v>
      </c>
      <c r="R436" s="7">
        <v>91</v>
      </c>
      <c r="S436" s="9">
        <v>18</v>
      </c>
      <c r="T436" s="10">
        <v>161</v>
      </c>
      <c r="U436" s="11">
        <v>84</v>
      </c>
    </row>
    <row r="437" spans="1:41">
      <c r="A437"/>
      <c r="B437"/>
      <c r="C437" s="12" t="s">
        <v>43</v>
      </c>
      <c r="D437" s="5">
        <v>0</v>
      </c>
      <c r="E437" s="6">
        <v>19</v>
      </c>
      <c r="F437" s="7">
        <v>13</v>
      </c>
      <c r="G437" s="9">
        <v>1</v>
      </c>
      <c r="H437" s="10">
        <v>15</v>
      </c>
      <c r="I437" s="11">
        <v>11</v>
      </c>
      <c r="J437" s="5">
        <v>0</v>
      </c>
      <c r="K437" s="6">
        <v>26.1</v>
      </c>
      <c r="L437" s="7">
        <v>13.53</v>
      </c>
      <c r="M437" s="9">
        <v>0.5</v>
      </c>
      <c r="N437" s="10">
        <v>17.53</v>
      </c>
      <c r="O437" s="11">
        <v>20.6</v>
      </c>
      <c r="P437" s="5">
        <v>0</v>
      </c>
      <c r="Q437" s="6">
        <v>55</v>
      </c>
      <c r="R437" s="7">
        <v>30</v>
      </c>
      <c r="S437" s="9">
        <v>1</v>
      </c>
      <c r="T437" s="10">
        <v>38</v>
      </c>
      <c r="U437" s="11">
        <v>44</v>
      </c>
    </row>
    <row r="438" spans="1:41">
      <c r="A438"/>
      <c r="B438"/>
      <c r="C438" s="12" t="s">
        <v>16</v>
      </c>
      <c r="D438" s="5">
        <v>3</v>
      </c>
      <c r="E438" s="6">
        <v>26</v>
      </c>
      <c r="F438" s="7">
        <v>19</v>
      </c>
      <c r="G438" s="9">
        <v>1</v>
      </c>
      <c r="H438" s="10">
        <v>25</v>
      </c>
      <c r="I438" s="11">
        <v>13</v>
      </c>
      <c r="J438" s="5">
        <v>3.72</v>
      </c>
      <c r="K438" s="6">
        <v>30.48</v>
      </c>
      <c r="L438" s="7">
        <v>41.17</v>
      </c>
      <c r="M438" s="9">
        <v>1.2</v>
      </c>
      <c r="N438" s="10">
        <v>38.65</v>
      </c>
      <c r="O438" s="11">
        <v>13.21</v>
      </c>
      <c r="P438" s="5">
        <v>9</v>
      </c>
      <c r="Q438" s="6">
        <v>68</v>
      </c>
      <c r="R438" s="7">
        <v>89</v>
      </c>
      <c r="S438" s="9">
        <v>3</v>
      </c>
      <c r="T438" s="10">
        <v>84</v>
      </c>
      <c r="U438" s="11">
        <v>29</v>
      </c>
    </row>
    <row r="439" spans="1:41">
      <c r="A439"/>
      <c r="B439"/>
      <c r="C439" s="12" t="s">
        <v>17</v>
      </c>
      <c r="D439" s="5">
        <v>5</v>
      </c>
      <c r="E439" s="6">
        <v>69</v>
      </c>
      <c r="F439" s="7">
        <v>47</v>
      </c>
      <c r="G439" s="9">
        <v>3</v>
      </c>
      <c r="H439" s="10">
        <v>61</v>
      </c>
      <c r="I439" s="11">
        <v>41</v>
      </c>
      <c r="J439" s="5">
        <v>10.03</v>
      </c>
      <c r="K439" s="6">
        <v>92.36</v>
      </c>
      <c r="L439" s="7">
        <v>73.61</v>
      </c>
      <c r="M439" s="9">
        <v>4.06</v>
      </c>
      <c r="N439" s="10">
        <v>77.82</v>
      </c>
      <c r="O439" s="11">
        <v>54.96</v>
      </c>
      <c r="P439" s="5">
        <v>22</v>
      </c>
      <c r="Q439" s="6">
        <v>212</v>
      </c>
      <c r="R439" s="7">
        <v>163</v>
      </c>
      <c r="S439" s="9">
        <v>10</v>
      </c>
      <c r="T439" s="10">
        <v>170</v>
      </c>
      <c r="U439" s="11">
        <v>122</v>
      </c>
    </row>
    <row r="440" spans="1:41">
      <c r="A440"/>
      <c r="B440"/>
      <c r="C440" s="12" t="s">
        <v>18</v>
      </c>
      <c r="D440" s="5">
        <v>6</v>
      </c>
      <c r="E440" s="6">
        <v>36</v>
      </c>
      <c r="F440" s="7">
        <v>13</v>
      </c>
      <c r="G440" s="9">
        <v>3</v>
      </c>
      <c r="H440" s="10">
        <v>25</v>
      </c>
      <c r="I440" s="11">
        <v>16</v>
      </c>
      <c r="J440" s="5">
        <v>12.01</v>
      </c>
      <c r="K440" s="6">
        <v>43.52</v>
      </c>
      <c r="L440" s="7">
        <v>19.8</v>
      </c>
      <c r="M440" s="9">
        <v>4</v>
      </c>
      <c r="N440" s="10">
        <v>28.38</v>
      </c>
      <c r="O440" s="11">
        <v>20.13</v>
      </c>
      <c r="P440" s="5">
        <v>26</v>
      </c>
      <c r="Q440" s="6">
        <v>98</v>
      </c>
      <c r="R440" s="7">
        <v>43</v>
      </c>
      <c r="S440" s="9">
        <v>8</v>
      </c>
      <c r="T440" s="10">
        <v>64</v>
      </c>
      <c r="U440" s="11">
        <v>45</v>
      </c>
    </row>
    <row r="441" spans="1:41">
      <c r="A441"/>
      <c r="B441"/>
      <c r="C441" s="12" t="s">
        <v>20</v>
      </c>
      <c r="D441" s="5">
        <v>1</v>
      </c>
      <c r="E441" s="6">
        <v>18</v>
      </c>
      <c r="F441" s="7">
        <v>11</v>
      </c>
      <c r="G441" s="9">
        <v>0</v>
      </c>
      <c r="H441" s="10">
        <v>17</v>
      </c>
      <c r="I441" s="11">
        <v>7</v>
      </c>
      <c r="J441" s="5">
        <v>1</v>
      </c>
      <c r="K441" s="6">
        <v>18.65</v>
      </c>
      <c r="L441" s="7">
        <v>13.52</v>
      </c>
      <c r="M441" s="9">
        <v>0</v>
      </c>
      <c r="N441" s="10">
        <v>25.01</v>
      </c>
      <c r="O441" s="11">
        <v>13.61</v>
      </c>
      <c r="P441" s="5">
        <v>2</v>
      </c>
      <c r="Q441" s="6">
        <v>42</v>
      </c>
      <c r="R441" s="7">
        <v>31</v>
      </c>
      <c r="S441" s="9">
        <v>0</v>
      </c>
      <c r="T441" s="10">
        <v>54</v>
      </c>
      <c r="U441" s="11">
        <v>28</v>
      </c>
    </row>
    <row r="442" spans="1:41">
      <c r="A442"/>
      <c r="B442"/>
      <c r="C442" s="12" t="s">
        <v>36</v>
      </c>
      <c r="D442" s="5">
        <v>3</v>
      </c>
      <c r="E442" s="6">
        <v>41</v>
      </c>
      <c r="F442" s="7">
        <v>18</v>
      </c>
      <c r="G442" s="9">
        <v>2</v>
      </c>
      <c r="H442" s="10">
        <v>32</v>
      </c>
      <c r="I442" s="11">
        <v>22</v>
      </c>
      <c r="J442" s="5">
        <v>5.83</v>
      </c>
      <c r="K442" s="6">
        <v>52.11</v>
      </c>
      <c r="L442" s="7">
        <v>27.44</v>
      </c>
      <c r="M442" s="9">
        <v>0.97</v>
      </c>
      <c r="N442" s="10">
        <v>39.78</v>
      </c>
      <c r="O442" s="11">
        <v>27.65</v>
      </c>
      <c r="P442" s="5">
        <v>12</v>
      </c>
      <c r="Q442" s="6">
        <v>117</v>
      </c>
      <c r="R442" s="7">
        <v>61</v>
      </c>
      <c r="S442" s="9">
        <v>2</v>
      </c>
      <c r="T442" s="10">
        <v>90</v>
      </c>
      <c r="U442" s="11">
        <v>62</v>
      </c>
    </row>
    <row r="443" spans="1:41">
      <c r="A443"/>
      <c r="B443"/>
      <c r="C443" s="12" t="s">
        <v>37</v>
      </c>
      <c r="D443" s="5">
        <v>1</v>
      </c>
      <c r="E443" s="6">
        <v>21</v>
      </c>
      <c r="F443" s="7">
        <v>9</v>
      </c>
      <c r="G443" s="9">
        <v>0</v>
      </c>
      <c r="H443" s="10">
        <v>13</v>
      </c>
      <c r="I443" s="11">
        <v>9</v>
      </c>
      <c r="J443" s="5">
        <v>1.5</v>
      </c>
      <c r="K443" s="6">
        <v>20.79</v>
      </c>
      <c r="L443" s="7">
        <v>7</v>
      </c>
      <c r="M443" s="9">
        <v>0</v>
      </c>
      <c r="N443" s="10">
        <v>10.41</v>
      </c>
      <c r="O443" s="11">
        <v>6</v>
      </c>
      <c r="P443" s="5">
        <v>3</v>
      </c>
      <c r="Q443" s="6">
        <v>47</v>
      </c>
      <c r="R443" s="7">
        <v>18</v>
      </c>
      <c r="S443" s="9">
        <v>0</v>
      </c>
      <c r="T443" s="10">
        <v>27</v>
      </c>
      <c r="U443" s="11">
        <v>15</v>
      </c>
    </row>
    <row r="444" spans="1:41">
      <c r="A444"/>
      <c r="B444"/>
      <c r="C444" s="12" t="s">
        <v>32</v>
      </c>
      <c r="D444" s="5">
        <v>2</v>
      </c>
      <c r="E444" s="6">
        <v>16</v>
      </c>
      <c r="F444" s="7">
        <v>6</v>
      </c>
      <c r="G444" s="9">
        <v>0</v>
      </c>
      <c r="H444" s="10">
        <v>9</v>
      </c>
      <c r="I444" s="11">
        <v>10</v>
      </c>
      <c r="J444" s="5">
        <v>1.66</v>
      </c>
      <c r="K444" s="6">
        <v>9.77</v>
      </c>
      <c r="L444" s="7">
        <v>3.23</v>
      </c>
      <c r="M444" s="9">
        <v>0</v>
      </c>
      <c r="N444" s="10">
        <v>9.1</v>
      </c>
      <c r="O444" s="11">
        <v>7.33</v>
      </c>
      <c r="P444" s="5">
        <v>4</v>
      </c>
      <c r="Q444" s="6">
        <v>25</v>
      </c>
      <c r="R444" s="7">
        <v>8</v>
      </c>
      <c r="S444" s="9">
        <v>0</v>
      </c>
      <c r="T444" s="10">
        <v>22</v>
      </c>
      <c r="U444" s="11">
        <v>18</v>
      </c>
    </row>
    <row r="445" spans="1:41">
      <c r="A445"/>
      <c r="B445"/>
      <c r="C445" s="12" t="s">
        <v>23</v>
      </c>
      <c r="D445" s="5">
        <v>0</v>
      </c>
      <c r="E445" s="6">
        <v>0</v>
      </c>
      <c r="F445" s="7">
        <v>0</v>
      </c>
      <c r="G445" s="9">
        <v>0</v>
      </c>
      <c r="H445" s="10">
        <v>2</v>
      </c>
      <c r="I445" s="11">
        <v>1</v>
      </c>
      <c r="J445" s="5">
        <v>0</v>
      </c>
      <c r="K445" s="6">
        <v>0</v>
      </c>
      <c r="L445" s="7">
        <v>0</v>
      </c>
      <c r="M445" s="9">
        <v>0</v>
      </c>
      <c r="N445" s="10">
        <v>1.54</v>
      </c>
      <c r="O445" s="11">
        <v>0.48</v>
      </c>
      <c r="P445" s="5">
        <v>0</v>
      </c>
      <c r="Q445" s="6">
        <v>0</v>
      </c>
      <c r="R445" s="7">
        <v>0</v>
      </c>
      <c r="S445" s="9">
        <v>0</v>
      </c>
      <c r="T445" s="10">
        <v>4</v>
      </c>
      <c r="U445" s="11">
        <v>1</v>
      </c>
    </row>
    <row r="446" spans="1:41">
      <c r="C446" s="13" t="s">
        <v>26</v>
      </c>
      <c r="D446" s="13" t="str">
        <f>SUM(D436:D445)</f>
        <v>0</v>
      </c>
      <c r="E446" s="13" t="str">
        <f>SUM(E436:E445)</f>
        <v>0</v>
      </c>
      <c r="F446" s="13" t="str">
        <f>SUM(F436:F445)</f>
        <v>0</v>
      </c>
      <c r="G446" s="13" t="str">
        <f>SUM(G436:G445)</f>
        <v>0</v>
      </c>
      <c r="H446" s="13" t="str">
        <f>SUM(H436:H445)</f>
        <v>0</v>
      </c>
      <c r="I446" s="13" t="str">
        <f>SUM(I436:I445)</f>
        <v>0</v>
      </c>
      <c r="J446" s="13" t="str">
        <f>SUM(J436:J445)</f>
        <v>0</v>
      </c>
      <c r="K446" s="13" t="str">
        <f>SUM(K436:K445)</f>
        <v>0</v>
      </c>
      <c r="L446" s="13" t="str">
        <f>SUM(L436:L445)</f>
        <v>0</v>
      </c>
      <c r="M446" s="13" t="str">
        <f>SUM(M436:M445)</f>
        <v>0</v>
      </c>
      <c r="N446" s="13" t="str">
        <f>SUM(N436:N445)</f>
        <v>0</v>
      </c>
      <c r="O446" s="13" t="str">
        <f>SUM(O436:O445)</f>
        <v>0</v>
      </c>
      <c r="P446" s="13" t="str">
        <f>SUM(P436:P445)</f>
        <v>0</v>
      </c>
      <c r="Q446" s="13" t="str">
        <f>SUM(Q436:Q445)</f>
        <v>0</v>
      </c>
      <c r="R446" s="13" t="str">
        <f>SUM(R436:R445)</f>
        <v>0</v>
      </c>
      <c r="S446" s="13" t="str">
        <f>SUM(S436:S445)</f>
        <v>0</v>
      </c>
      <c r="T446" s="13" t="str">
        <f>SUM(T436:T445)</f>
        <v>0</v>
      </c>
      <c r="U446" s="13" t="str">
        <f>SUM(U436:U445)</f>
        <v>0</v>
      </c>
    </row>
    <row r="447" spans="1:41">
      <c r="A447"/>
      <c r="B447" s="14" t="s">
        <v>126</v>
      </c>
      <c r="C447" s="12" t="s">
        <v>30</v>
      </c>
      <c r="D447" s="5">
        <v>0</v>
      </c>
      <c r="E447" s="6">
        <v>0</v>
      </c>
      <c r="F447" s="7">
        <v>0</v>
      </c>
      <c r="G447" s="9">
        <v>0</v>
      </c>
      <c r="H447" s="10">
        <v>0</v>
      </c>
      <c r="I447" s="11">
        <v>0</v>
      </c>
      <c r="J447" s="5">
        <v>0</v>
      </c>
      <c r="K447" s="6">
        <v>0</v>
      </c>
      <c r="L447" s="7">
        <v>0</v>
      </c>
      <c r="M447" s="9">
        <v>0</v>
      </c>
      <c r="N447" s="10">
        <v>0</v>
      </c>
      <c r="O447" s="11">
        <v>0</v>
      </c>
      <c r="P447" s="5">
        <v>0</v>
      </c>
      <c r="Q447" s="6">
        <v>0</v>
      </c>
      <c r="R447" s="7">
        <v>0</v>
      </c>
      <c r="S447" s="9">
        <v>0</v>
      </c>
      <c r="T447" s="10">
        <v>0</v>
      </c>
      <c r="U447" s="11">
        <v>0</v>
      </c>
    </row>
    <row r="448" spans="1:41">
      <c r="A448"/>
      <c r="B448"/>
      <c r="C448" s="12" t="s">
        <v>43</v>
      </c>
      <c r="D448" s="5">
        <v>0</v>
      </c>
      <c r="E448" s="6">
        <v>0</v>
      </c>
      <c r="F448" s="7">
        <v>0</v>
      </c>
      <c r="G448" s="9">
        <v>0</v>
      </c>
      <c r="H448" s="10">
        <v>0</v>
      </c>
      <c r="I448" s="11">
        <v>0</v>
      </c>
      <c r="J448" s="5">
        <v>0</v>
      </c>
      <c r="K448" s="6">
        <v>0</v>
      </c>
      <c r="L448" s="7">
        <v>0</v>
      </c>
      <c r="M448" s="9">
        <v>0</v>
      </c>
      <c r="N448" s="10">
        <v>0</v>
      </c>
      <c r="O448" s="11">
        <v>0</v>
      </c>
      <c r="P448" s="5">
        <v>0</v>
      </c>
      <c r="Q448" s="6">
        <v>0</v>
      </c>
      <c r="R448" s="7">
        <v>0</v>
      </c>
      <c r="S448" s="9">
        <v>0</v>
      </c>
      <c r="T448" s="10">
        <v>0</v>
      </c>
      <c r="U448" s="11">
        <v>0</v>
      </c>
    </row>
    <row r="449" spans="1:41">
      <c r="A449"/>
      <c r="B449"/>
      <c r="C449" s="12" t="s">
        <v>16</v>
      </c>
      <c r="D449" s="5">
        <v>0</v>
      </c>
      <c r="E449" s="6">
        <v>0</v>
      </c>
      <c r="F449" s="7">
        <v>0</v>
      </c>
      <c r="G449" s="9">
        <v>0</v>
      </c>
      <c r="H449" s="10">
        <v>0</v>
      </c>
      <c r="I449" s="11">
        <v>0</v>
      </c>
      <c r="J449" s="5">
        <v>0</v>
      </c>
      <c r="K449" s="6">
        <v>0</v>
      </c>
      <c r="L449" s="7">
        <v>0</v>
      </c>
      <c r="M449" s="9">
        <v>0</v>
      </c>
      <c r="N449" s="10">
        <v>0</v>
      </c>
      <c r="O449" s="11">
        <v>0</v>
      </c>
      <c r="P449" s="5">
        <v>0</v>
      </c>
      <c r="Q449" s="6">
        <v>0</v>
      </c>
      <c r="R449" s="7">
        <v>0</v>
      </c>
      <c r="S449" s="9">
        <v>0</v>
      </c>
      <c r="T449" s="10">
        <v>0</v>
      </c>
      <c r="U449" s="11">
        <v>0</v>
      </c>
    </row>
    <row r="450" spans="1:41">
      <c r="C450" s="13" t="s">
        <v>26</v>
      </c>
      <c r="D450" s="13" t="str">
        <f>SUM(D447:D449)</f>
        <v>0</v>
      </c>
      <c r="E450" s="13" t="str">
        <f>SUM(E447:E449)</f>
        <v>0</v>
      </c>
      <c r="F450" s="13" t="str">
        <f>SUM(F447:F449)</f>
        <v>0</v>
      </c>
      <c r="G450" s="13" t="str">
        <f>SUM(G447:G449)</f>
        <v>0</v>
      </c>
      <c r="H450" s="13" t="str">
        <f>SUM(H447:H449)</f>
        <v>0</v>
      </c>
      <c r="I450" s="13" t="str">
        <f>SUM(I447:I449)</f>
        <v>0</v>
      </c>
      <c r="J450" s="13" t="str">
        <f>SUM(J447:J449)</f>
        <v>0</v>
      </c>
      <c r="K450" s="13" t="str">
        <f>SUM(K447:K449)</f>
        <v>0</v>
      </c>
      <c r="L450" s="13" t="str">
        <f>SUM(L447:L449)</f>
        <v>0</v>
      </c>
      <c r="M450" s="13" t="str">
        <f>SUM(M447:M449)</f>
        <v>0</v>
      </c>
      <c r="N450" s="13" t="str">
        <f>SUM(N447:N449)</f>
        <v>0</v>
      </c>
      <c r="O450" s="13" t="str">
        <f>SUM(O447:O449)</f>
        <v>0</v>
      </c>
      <c r="P450" s="13" t="str">
        <f>SUM(P447:P449)</f>
        <v>0</v>
      </c>
      <c r="Q450" s="13" t="str">
        <f>SUM(Q447:Q449)</f>
        <v>0</v>
      </c>
      <c r="R450" s="13" t="str">
        <f>SUM(R447:R449)</f>
        <v>0</v>
      </c>
      <c r="S450" s="13" t="str">
        <f>SUM(S447:S449)</f>
        <v>0</v>
      </c>
      <c r="T450" s="13" t="str">
        <f>SUM(T447:T449)</f>
        <v>0</v>
      </c>
      <c r="U450" s="13" t="str">
        <f>SUM(U447:U449)</f>
        <v>0</v>
      </c>
    </row>
    <row r="451" spans="1:41">
      <c r="A451" s="9" t="s">
        <v>127</v>
      </c>
      <c r="B451" s="11" t="s">
        <v>128</v>
      </c>
      <c r="C451" s="12" t="s">
        <v>30</v>
      </c>
      <c r="D451" s="5">
        <v>21</v>
      </c>
      <c r="E451" s="6">
        <v>210</v>
      </c>
      <c r="F451" s="7">
        <v>71</v>
      </c>
      <c r="G451" s="9">
        <v>10</v>
      </c>
      <c r="H451" s="10">
        <v>98</v>
      </c>
      <c r="I451" s="11">
        <v>50</v>
      </c>
      <c r="J451" s="5">
        <v>36.29</v>
      </c>
      <c r="K451" s="6">
        <v>320.31</v>
      </c>
      <c r="L451" s="7">
        <v>95.71</v>
      </c>
      <c r="M451" s="9">
        <v>15.69</v>
      </c>
      <c r="N451" s="10">
        <v>114.53</v>
      </c>
      <c r="O451" s="11">
        <v>58.58</v>
      </c>
      <c r="P451" s="5">
        <v>74</v>
      </c>
      <c r="Q451" s="6">
        <v>667</v>
      </c>
      <c r="R451" s="7">
        <v>200</v>
      </c>
      <c r="S451" s="9">
        <v>33</v>
      </c>
      <c r="T451" s="10">
        <v>241</v>
      </c>
      <c r="U451" s="11">
        <v>128</v>
      </c>
    </row>
    <row r="452" spans="1:41">
      <c r="A452"/>
      <c r="B452"/>
      <c r="C452" s="12" t="s">
        <v>43</v>
      </c>
      <c r="D452" s="5">
        <v>224</v>
      </c>
      <c r="E452" s="6">
        <v>3410</v>
      </c>
      <c r="F452" s="7">
        <v>1631</v>
      </c>
      <c r="G452" s="9">
        <v>123</v>
      </c>
      <c r="H452" s="10">
        <v>2123</v>
      </c>
      <c r="I452" s="11">
        <v>1495</v>
      </c>
      <c r="J452" s="5">
        <v>226.09</v>
      </c>
      <c r="K452" s="6">
        <v>3729.7</v>
      </c>
      <c r="L452" s="7">
        <v>1953.32</v>
      </c>
      <c r="M452" s="9">
        <v>128.88</v>
      </c>
      <c r="N452" s="10">
        <v>2276.11</v>
      </c>
      <c r="O452" s="11">
        <v>1667.71</v>
      </c>
      <c r="P452" s="5">
        <v>474</v>
      </c>
      <c r="Q452" s="6">
        <v>8027</v>
      </c>
      <c r="R452" s="7">
        <v>4218</v>
      </c>
      <c r="S452" s="9">
        <v>267</v>
      </c>
      <c r="T452" s="10">
        <v>4906</v>
      </c>
      <c r="U452" s="11">
        <v>3623</v>
      </c>
    </row>
    <row r="453" spans="1:41">
      <c r="A453"/>
      <c r="B453"/>
      <c r="C453" s="12" t="s">
        <v>16</v>
      </c>
      <c r="D453" s="5">
        <v>48</v>
      </c>
      <c r="E453" s="6">
        <v>778</v>
      </c>
      <c r="F453" s="7">
        <v>270</v>
      </c>
      <c r="G453" s="9">
        <v>31</v>
      </c>
      <c r="H453" s="10">
        <v>437</v>
      </c>
      <c r="I453" s="11">
        <v>199</v>
      </c>
      <c r="J453" s="5">
        <v>51.05</v>
      </c>
      <c r="K453" s="6">
        <v>905.47</v>
      </c>
      <c r="L453" s="7">
        <v>364.61</v>
      </c>
      <c r="M453" s="9">
        <v>35.84</v>
      </c>
      <c r="N453" s="10">
        <v>476.17</v>
      </c>
      <c r="O453" s="11">
        <v>215.56</v>
      </c>
      <c r="P453" s="5">
        <v>106</v>
      </c>
      <c r="Q453" s="6">
        <v>1878</v>
      </c>
      <c r="R453" s="7">
        <v>754</v>
      </c>
      <c r="S453" s="9">
        <v>75</v>
      </c>
      <c r="T453" s="10">
        <v>997</v>
      </c>
      <c r="U453" s="11">
        <v>457</v>
      </c>
    </row>
    <row r="454" spans="1:41">
      <c r="A454"/>
      <c r="B454"/>
      <c r="C454" s="12" t="s">
        <v>17</v>
      </c>
      <c r="D454" s="5">
        <v>9</v>
      </c>
      <c r="E454" s="6">
        <v>71</v>
      </c>
      <c r="F454" s="7">
        <v>34</v>
      </c>
      <c r="G454" s="9">
        <v>3</v>
      </c>
      <c r="H454" s="10">
        <v>43</v>
      </c>
      <c r="I454" s="11">
        <v>30</v>
      </c>
      <c r="J454" s="5">
        <v>9.29</v>
      </c>
      <c r="K454" s="6">
        <v>87.4</v>
      </c>
      <c r="L454" s="7">
        <v>44.46</v>
      </c>
      <c r="M454" s="9">
        <v>3</v>
      </c>
      <c r="N454" s="10">
        <v>49.11</v>
      </c>
      <c r="O454" s="11">
        <v>39.7</v>
      </c>
      <c r="P454" s="5">
        <v>20</v>
      </c>
      <c r="Q454" s="6">
        <v>190</v>
      </c>
      <c r="R454" s="7">
        <v>94</v>
      </c>
      <c r="S454" s="9">
        <v>6</v>
      </c>
      <c r="T454" s="10">
        <v>106</v>
      </c>
      <c r="U454" s="11">
        <v>86</v>
      </c>
    </row>
    <row r="455" spans="1:41">
      <c r="A455"/>
      <c r="B455"/>
      <c r="C455" s="12" t="s">
        <v>18</v>
      </c>
      <c r="D455" s="5">
        <v>0</v>
      </c>
      <c r="E455" s="6">
        <v>0</v>
      </c>
      <c r="F455" s="7">
        <v>0</v>
      </c>
      <c r="G455" s="9">
        <v>0</v>
      </c>
      <c r="H455" s="10">
        <v>0</v>
      </c>
      <c r="I455" s="11">
        <v>0</v>
      </c>
      <c r="J455" s="5">
        <v>0</v>
      </c>
      <c r="K455" s="6">
        <v>0</v>
      </c>
      <c r="L455" s="7">
        <v>0</v>
      </c>
      <c r="M455" s="9">
        <v>0</v>
      </c>
      <c r="N455" s="10">
        <v>0</v>
      </c>
      <c r="O455" s="11">
        <v>0</v>
      </c>
      <c r="P455" s="5">
        <v>0</v>
      </c>
      <c r="Q455" s="6">
        <v>0</v>
      </c>
      <c r="R455" s="7">
        <v>0</v>
      </c>
      <c r="S455" s="9">
        <v>0</v>
      </c>
      <c r="T455" s="10">
        <v>0</v>
      </c>
      <c r="U455" s="11">
        <v>0</v>
      </c>
    </row>
    <row r="456" spans="1:41">
      <c r="A456"/>
      <c r="B456"/>
      <c r="C456" s="12" t="s">
        <v>20</v>
      </c>
      <c r="D456" s="5">
        <v>417</v>
      </c>
      <c r="E456" s="6">
        <v>3190</v>
      </c>
      <c r="F456" s="7">
        <v>1127</v>
      </c>
      <c r="G456" s="9">
        <v>223</v>
      </c>
      <c r="H456" s="10">
        <v>1696</v>
      </c>
      <c r="I456" s="11">
        <v>912</v>
      </c>
      <c r="J456" s="5">
        <v>414.18</v>
      </c>
      <c r="K456" s="6">
        <v>3460.07</v>
      </c>
      <c r="L456" s="7">
        <v>1339.48</v>
      </c>
      <c r="M456" s="9">
        <v>228.65</v>
      </c>
      <c r="N456" s="10">
        <v>1746.18</v>
      </c>
      <c r="O456" s="11">
        <v>984.7</v>
      </c>
      <c r="P456" s="5">
        <v>858</v>
      </c>
      <c r="Q456" s="6">
        <v>7305</v>
      </c>
      <c r="R456" s="7">
        <v>2843</v>
      </c>
      <c r="S456" s="9">
        <v>474</v>
      </c>
      <c r="T456" s="10">
        <v>3725</v>
      </c>
      <c r="U456" s="11">
        <v>2128</v>
      </c>
    </row>
    <row r="457" spans="1:41">
      <c r="A457"/>
      <c r="B457"/>
      <c r="C457" s="12" t="s">
        <v>36</v>
      </c>
      <c r="D457" s="5">
        <v>4</v>
      </c>
      <c r="E457" s="6">
        <v>73</v>
      </c>
      <c r="F457" s="7">
        <v>33</v>
      </c>
      <c r="G457" s="9">
        <v>3</v>
      </c>
      <c r="H457" s="10">
        <v>46</v>
      </c>
      <c r="I457" s="11">
        <v>29</v>
      </c>
      <c r="J457" s="5">
        <v>4.3</v>
      </c>
      <c r="K457" s="6">
        <v>77.42</v>
      </c>
      <c r="L457" s="7">
        <v>37.36</v>
      </c>
      <c r="M457" s="9">
        <v>1.4</v>
      </c>
      <c r="N457" s="10">
        <v>55.67</v>
      </c>
      <c r="O457" s="11">
        <v>32.45</v>
      </c>
      <c r="P457" s="5">
        <v>9</v>
      </c>
      <c r="Q457" s="6">
        <v>163</v>
      </c>
      <c r="R457" s="7">
        <v>78</v>
      </c>
      <c r="S457" s="9">
        <v>3</v>
      </c>
      <c r="T457" s="10">
        <v>117</v>
      </c>
      <c r="U457" s="11">
        <v>71</v>
      </c>
    </row>
    <row r="458" spans="1:41">
      <c r="A458"/>
      <c r="B458"/>
      <c r="C458" s="12" t="s">
        <v>44</v>
      </c>
      <c r="D458" s="5">
        <v>9</v>
      </c>
      <c r="E458" s="6">
        <v>175</v>
      </c>
      <c r="F458" s="7">
        <v>95</v>
      </c>
      <c r="G458" s="9">
        <v>3</v>
      </c>
      <c r="H458" s="10">
        <v>102</v>
      </c>
      <c r="I458" s="11">
        <v>70</v>
      </c>
      <c r="J458" s="5">
        <v>8.5</v>
      </c>
      <c r="K458" s="6">
        <v>235.63</v>
      </c>
      <c r="L458" s="7">
        <v>105.89</v>
      </c>
      <c r="M458" s="9">
        <v>1.5</v>
      </c>
      <c r="N458" s="10">
        <v>104.34</v>
      </c>
      <c r="O458" s="11">
        <v>75.68</v>
      </c>
      <c r="P458" s="5">
        <v>17</v>
      </c>
      <c r="Q458" s="6">
        <v>510</v>
      </c>
      <c r="R458" s="7">
        <v>233</v>
      </c>
      <c r="S458" s="9">
        <v>3</v>
      </c>
      <c r="T458" s="10">
        <v>224</v>
      </c>
      <c r="U458" s="11">
        <v>165</v>
      </c>
    </row>
    <row r="459" spans="1:41">
      <c r="A459"/>
      <c r="B459"/>
      <c r="C459" s="12" t="s">
        <v>37</v>
      </c>
      <c r="D459" s="5">
        <v>82</v>
      </c>
      <c r="E459" s="6">
        <v>1044</v>
      </c>
      <c r="F459" s="7">
        <v>409</v>
      </c>
      <c r="G459" s="9">
        <v>38</v>
      </c>
      <c r="H459" s="10">
        <v>562</v>
      </c>
      <c r="I459" s="11">
        <v>349</v>
      </c>
      <c r="J459" s="5">
        <v>86.98</v>
      </c>
      <c r="K459" s="6">
        <v>1234.02</v>
      </c>
      <c r="L459" s="7">
        <v>491.2</v>
      </c>
      <c r="M459" s="9">
        <v>43.65</v>
      </c>
      <c r="N459" s="10">
        <v>630.09</v>
      </c>
      <c r="O459" s="11">
        <v>439.03</v>
      </c>
      <c r="P459" s="5">
        <v>181</v>
      </c>
      <c r="Q459" s="6">
        <v>2611</v>
      </c>
      <c r="R459" s="7">
        <v>1056</v>
      </c>
      <c r="S459" s="9">
        <v>90</v>
      </c>
      <c r="T459" s="10">
        <v>1350</v>
      </c>
      <c r="U459" s="11">
        <v>937</v>
      </c>
    </row>
    <row r="460" spans="1:41">
      <c r="A460"/>
      <c r="B460"/>
      <c r="C460" s="12" t="s">
        <v>23</v>
      </c>
      <c r="D460" s="5">
        <v>0</v>
      </c>
      <c r="E460" s="6">
        <v>0</v>
      </c>
      <c r="F460" s="7">
        <v>0</v>
      </c>
      <c r="G460" s="9">
        <v>0</v>
      </c>
      <c r="H460" s="10">
        <v>0</v>
      </c>
      <c r="I460" s="11">
        <v>0</v>
      </c>
      <c r="J460" s="5">
        <v>0</v>
      </c>
      <c r="K460" s="6">
        <v>0</v>
      </c>
      <c r="L460" s="7">
        <v>0</v>
      </c>
      <c r="M460" s="9">
        <v>0</v>
      </c>
      <c r="N460" s="10">
        <v>0</v>
      </c>
      <c r="O460" s="11">
        <v>0</v>
      </c>
      <c r="P460" s="5">
        <v>0</v>
      </c>
      <c r="Q460" s="6">
        <v>0</v>
      </c>
      <c r="R460" s="7">
        <v>0</v>
      </c>
      <c r="S460" s="9">
        <v>0</v>
      </c>
      <c r="T460" s="10">
        <v>0</v>
      </c>
      <c r="U460" s="11">
        <v>0</v>
      </c>
    </row>
    <row r="461" spans="1:41">
      <c r="C461" s="13" t="s">
        <v>26</v>
      </c>
      <c r="D461" s="13" t="str">
        <f>SUM(D451:D460)</f>
        <v>0</v>
      </c>
      <c r="E461" s="13" t="str">
        <f>SUM(E451:E460)</f>
        <v>0</v>
      </c>
      <c r="F461" s="13" t="str">
        <f>SUM(F451:F460)</f>
        <v>0</v>
      </c>
      <c r="G461" s="13" t="str">
        <f>SUM(G451:G460)</f>
        <v>0</v>
      </c>
      <c r="H461" s="13" t="str">
        <f>SUM(H451:H460)</f>
        <v>0</v>
      </c>
      <c r="I461" s="13" t="str">
        <f>SUM(I451:I460)</f>
        <v>0</v>
      </c>
      <c r="J461" s="13" t="str">
        <f>SUM(J451:J460)</f>
        <v>0</v>
      </c>
      <c r="K461" s="13" t="str">
        <f>SUM(K451:K460)</f>
        <v>0</v>
      </c>
      <c r="L461" s="13" t="str">
        <f>SUM(L451:L460)</f>
        <v>0</v>
      </c>
      <c r="M461" s="13" t="str">
        <f>SUM(M451:M460)</f>
        <v>0</v>
      </c>
      <c r="N461" s="13" t="str">
        <f>SUM(N451:N460)</f>
        <v>0</v>
      </c>
      <c r="O461" s="13" t="str">
        <f>SUM(O451:O460)</f>
        <v>0</v>
      </c>
      <c r="P461" s="13" t="str">
        <f>SUM(P451:P460)</f>
        <v>0</v>
      </c>
      <c r="Q461" s="13" t="str">
        <f>SUM(Q451:Q460)</f>
        <v>0</v>
      </c>
      <c r="R461" s="13" t="str">
        <f>SUM(R451:R460)</f>
        <v>0</v>
      </c>
      <c r="S461" s="13" t="str">
        <f>SUM(S451:S460)</f>
        <v>0</v>
      </c>
      <c r="T461" s="13" t="str">
        <f>SUM(T451:T460)</f>
        <v>0</v>
      </c>
      <c r="U461" s="13" t="str">
        <f>SUM(U451:U460)</f>
        <v>0</v>
      </c>
    </row>
    <row r="462" spans="1:41">
      <c r="A462"/>
      <c r="B462" s="14" t="s">
        <v>129</v>
      </c>
      <c r="C462" s="12" t="s">
        <v>42</v>
      </c>
      <c r="D462" s="5">
        <v>0</v>
      </c>
      <c r="E462" s="6">
        <v>31</v>
      </c>
      <c r="F462" s="7">
        <v>10</v>
      </c>
      <c r="G462" s="9">
        <v>1</v>
      </c>
      <c r="H462" s="10">
        <v>12</v>
      </c>
      <c r="I462" s="11">
        <v>7</v>
      </c>
      <c r="J462" s="5">
        <v>0</v>
      </c>
      <c r="K462" s="6">
        <v>33.08</v>
      </c>
      <c r="L462" s="7">
        <v>10.92</v>
      </c>
      <c r="M462" s="9">
        <v>0.48</v>
      </c>
      <c r="N462" s="10">
        <v>12.04</v>
      </c>
      <c r="O462" s="11">
        <v>4.89</v>
      </c>
      <c r="P462" s="5">
        <v>0</v>
      </c>
      <c r="Q462" s="6">
        <v>70</v>
      </c>
      <c r="R462" s="7">
        <v>26</v>
      </c>
      <c r="S462" s="9">
        <v>1</v>
      </c>
      <c r="T462" s="10">
        <v>26</v>
      </c>
      <c r="U462" s="11">
        <v>12</v>
      </c>
    </row>
    <row r="463" spans="1:41">
      <c r="A463"/>
      <c r="B463"/>
      <c r="C463" s="12" t="s">
        <v>43</v>
      </c>
      <c r="D463" s="5">
        <v>36</v>
      </c>
      <c r="E463" s="6">
        <v>1127</v>
      </c>
      <c r="F463" s="7">
        <v>590</v>
      </c>
      <c r="G463" s="9">
        <v>18</v>
      </c>
      <c r="H463" s="10">
        <v>660</v>
      </c>
      <c r="I463" s="11">
        <v>518</v>
      </c>
      <c r="J463" s="5">
        <v>52.5</v>
      </c>
      <c r="K463" s="6">
        <v>1625.49</v>
      </c>
      <c r="L463" s="7">
        <v>939.08</v>
      </c>
      <c r="M463" s="9">
        <v>22.54</v>
      </c>
      <c r="N463" s="10">
        <v>921.93</v>
      </c>
      <c r="O463" s="11">
        <v>763.01</v>
      </c>
      <c r="P463" s="5">
        <v>108</v>
      </c>
      <c r="Q463" s="6">
        <v>3390</v>
      </c>
      <c r="R463" s="7">
        <v>1945</v>
      </c>
      <c r="S463" s="9">
        <v>46</v>
      </c>
      <c r="T463" s="10">
        <v>1946</v>
      </c>
      <c r="U463" s="11">
        <v>1599</v>
      </c>
    </row>
    <row r="464" spans="1:41">
      <c r="A464"/>
      <c r="B464"/>
      <c r="C464" s="12" t="s">
        <v>17</v>
      </c>
      <c r="D464" s="5">
        <v>18</v>
      </c>
      <c r="E464" s="6">
        <v>328</v>
      </c>
      <c r="F464" s="7">
        <v>153</v>
      </c>
      <c r="G464" s="9">
        <v>3</v>
      </c>
      <c r="H464" s="10">
        <v>151</v>
      </c>
      <c r="I464" s="11">
        <v>121</v>
      </c>
      <c r="J464" s="5">
        <v>30.81</v>
      </c>
      <c r="K464" s="6">
        <v>480.15</v>
      </c>
      <c r="L464" s="7">
        <v>242.14</v>
      </c>
      <c r="M464" s="9">
        <v>3</v>
      </c>
      <c r="N464" s="10">
        <v>232.9</v>
      </c>
      <c r="O464" s="11">
        <v>167.86</v>
      </c>
      <c r="P464" s="5">
        <v>63</v>
      </c>
      <c r="Q464" s="6">
        <v>1008</v>
      </c>
      <c r="R464" s="7">
        <v>507</v>
      </c>
      <c r="S464" s="9">
        <v>6</v>
      </c>
      <c r="T464" s="10">
        <v>487</v>
      </c>
      <c r="U464" s="11">
        <v>359</v>
      </c>
    </row>
    <row r="465" spans="1:41">
      <c r="A465"/>
      <c r="B465"/>
      <c r="C465" s="12" t="s">
        <v>20</v>
      </c>
      <c r="D465" s="5">
        <v>39</v>
      </c>
      <c r="E465" s="6">
        <v>790</v>
      </c>
      <c r="F465" s="7">
        <v>411</v>
      </c>
      <c r="G465" s="9">
        <v>14</v>
      </c>
      <c r="H465" s="10">
        <v>401</v>
      </c>
      <c r="I465" s="11">
        <v>335</v>
      </c>
      <c r="J465" s="5">
        <v>58.79</v>
      </c>
      <c r="K465" s="6">
        <v>1291.77</v>
      </c>
      <c r="L465" s="7">
        <v>735.04</v>
      </c>
      <c r="M465" s="9">
        <v>29.63</v>
      </c>
      <c r="N465" s="10">
        <v>631.4</v>
      </c>
      <c r="O465" s="11">
        <v>530.9</v>
      </c>
      <c r="P465" s="5">
        <v>121</v>
      </c>
      <c r="Q465" s="6">
        <v>2662</v>
      </c>
      <c r="R465" s="7">
        <v>1506</v>
      </c>
      <c r="S465" s="9">
        <v>61</v>
      </c>
      <c r="T465" s="10">
        <v>1305</v>
      </c>
      <c r="U465" s="11">
        <v>1102</v>
      </c>
    </row>
    <row r="466" spans="1:41">
      <c r="A466"/>
      <c r="B466"/>
      <c r="C466" s="12" t="s">
        <v>44</v>
      </c>
      <c r="D466" s="5">
        <v>6</v>
      </c>
      <c r="E466" s="6">
        <v>164</v>
      </c>
      <c r="F466" s="7">
        <v>96</v>
      </c>
      <c r="G466" s="9">
        <v>4</v>
      </c>
      <c r="H466" s="10">
        <v>85</v>
      </c>
      <c r="I466" s="11">
        <v>78</v>
      </c>
      <c r="J466" s="5">
        <v>7</v>
      </c>
      <c r="K466" s="6">
        <v>257.05</v>
      </c>
      <c r="L466" s="7">
        <v>138.71</v>
      </c>
      <c r="M466" s="9">
        <v>5.86</v>
      </c>
      <c r="N466" s="10">
        <v>124.74</v>
      </c>
      <c r="O466" s="11">
        <v>106.62</v>
      </c>
      <c r="P466" s="5">
        <v>14</v>
      </c>
      <c r="Q466" s="6">
        <v>525</v>
      </c>
      <c r="R466" s="7">
        <v>291</v>
      </c>
      <c r="S466" s="9">
        <v>12</v>
      </c>
      <c r="T466" s="10">
        <v>260</v>
      </c>
      <c r="U466" s="11">
        <v>224</v>
      </c>
    </row>
    <row r="467" spans="1:41">
      <c r="A467"/>
      <c r="B467"/>
      <c r="C467" s="12" t="s">
        <v>37</v>
      </c>
      <c r="D467" s="5">
        <v>11</v>
      </c>
      <c r="E467" s="6">
        <v>390</v>
      </c>
      <c r="F467" s="7">
        <v>222</v>
      </c>
      <c r="G467" s="9">
        <v>5</v>
      </c>
      <c r="H467" s="10">
        <v>194</v>
      </c>
      <c r="I467" s="11">
        <v>165</v>
      </c>
      <c r="J467" s="5">
        <v>13.51</v>
      </c>
      <c r="K467" s="6">
        <v>570.54</v>
      </c>
      <c r="L467" s="7">
        <v>314.54</v>
      </c>
      <c r="M467" s="9">
        <v>5.72</v>
      </c>
      <c r="N467" s="10">
        <v>248.7</v>
      </c>
      <c r="O467" s="11">
        <v>228.75</v>
      </c>
      <c r="P467" s="5">
        <v>28</v>
      </c>
      <c r="Q467" s="6">
        <v>1187</v>
      </c>
      <c r="R467" s="7">
        <v>657</v>
      </c>
      <c r="S467" s="9">
        <v>13</v>
      </c>
      <c r="T467" s="10">
        <v>525</v>
      </c>
      <c r="U467" s="11">
        <v>486</v>
      </c>
    </row>
    <row r="468" spans="1:41">
      <c r="A468"/>
      <c r="B468"/>
      <c r="C468" s="12" t="s">
        <v>23</v>
      </c>
      <c r="D468" s="5">
        <v>0</v>
      </c>
      <c r="E468" s="6">
        <v>99</v>
      </c>
      <c r="F468" s="7">
        <v>51</v>
      </c>
      <c r="G468" s="9">
        <v>2</v>
      </c>
      <c r="H468" s="10">
        <v>40</v>
      </c>
      <c r="I468" s="11">
        <v>33</v>
      </c>
      <c r="J468" s="5">
        <v>0</v>
      </c>
      <c r="K468" s="6">
        <v>124.92</v>
      </c>
      <c r="L468" s="7">
        <v>68.22</v>
      </c>
      <c r="M468" s="9">
        <v>1.5</v>
      </c>
      <c r="N468" s="10">
        <v>40.79</v>
      </c>
      <c r="O468" s="11">
        <v>42.98</v>
      </c>
      <c r="P468" s="5">
        <v>0</v>
      </c>
      <c r="Q468" s="6">
        <v>259</v>
      </c>
      <c r="R468" s="7">
        <v>142</v>
      </c>
      <c r="S468" s="9">
        <v>3</v>
      </c>
      <c r="T468" s="10">
        <v>88</v>
      </c>
      <c r="U468" s="11">
        <v>92</v>
      </c>
    </row>
    <row r="469" spans="1:41">
      <c r="C469" s="13" t="s">
        <v>26</v>
      </c>
      <c r="D469" s="13" t="str">
        <f>SUM(D462:D468)</f>
        <v>0</v>
      </c>
      <c r="E469" s="13" t="str">
        <f>SUM(E462:E468)</f>
        <v>0</v>
      </c>
      <c r="F469" s="13" t="str">
        <f>SUM(F462:F468)</f>
        <v>0</v>
      </c>
      <c r="G469" s="13" t="str">
        <f>SUM(G462:G468)</f>
        <v>0</v>
      </c>
      <c r="H469" s="13" t="str">
        <f>SUM(H462:H468)</f>
        <v>0</v>
      </c>
      <c r="I469" s="13" t="str">
        <f>SUM(I462:I468)</f>
        <v>0</v>
      </c>
      <c r="J469" s="13" t="str">
        <f>SUM(J462:J468)</f>
        <v>0</v>
      </c>
      <c r="K469" s="13" t="str">
        <f>SUM(K462:K468)</f>
        <v>0</v>
      </c>
      <c r="L469" s="13" t="str">
        <f>SUM(L462:L468)</f>
        <v>0</v>
      </c>
      <c r="M469" s="13" t="str">
        <f>SUM(M462:M468)</f>
        <v>0</v>
      </c>
      <c r="N469" s="13" t="str">
        <f>SUM(N462:N468)</f>
        <v>0</v>
      </c>
      <c r="O469" s="13" t="str">
        <f>SUM(O462:O468)</f>
        <v>0</v>
      </c>
      <c r="P469" s="13" t="str">
        <f>SUM(P462:P468)</f>
        <v>0</v>
      </c>
      <c r="Q469" s="13" t="str">
        <f>SUM(Q462:Q468)</f>
        <v>0</v>
      </c>
      <c r="R469" s="13" t="str">
        <f>SUM(R462:R468)</f>
        <v>0</v>
      </c>
      <c r="S469" s="13" t="str">
        <f>SUM(S462:S468)</f>
        <v>0</v>
      </c>
      <c r="T469" s="13" t="str">
        <f>SUM(T462:T468)</f>
        <v>0</v>
      </c>
      <c r="U469" s="13" t="str">
        <f>SUM(U462:U468)</f>
        <v>0</v>
      </c>
    </row>
    <row r="470" spans="1:41">
      <c r="A470"/>
      <c r="B470" s="14" t="s">
        <v>130</v>
      </c>
      <c r="C470" s="12" t="s">
        <v>30</v>
      </c>
      <c r="D470" s="5">
        <v>61</v>
      </c>
      <c r="E470" s="6">
        <v>800</v>
      </c>
      <c r="F470" s="7">
        <v>315</v>
      </c>
      <c r="G470" s="9">
        <v>25</v>
      </c>
      <c r="H470" s="10">
        <v>301</v>
      </c>
      <c r="I470" s="11">
        <v>138</v>
      </c>
      <c r="J470" s="5">
        <v>66.7</v>
      </c>
      <c r="K470" s="6">
        <v>1111.69</v>
      </c>
      <c r="L470" s="7">
        <v>461.65</v>
      </c>
      <c r="M470" s="9">
        <v>24.45</v>
      </c>
      <c r="N470" s="10">
        <v>379.42</v>
      </c>
      <c r="O470" s="11">
        <v>180.43</v>
      </c>
      <c r="P470" s="5">
        <v>134</v>
      </c>
      <c r="Q470" s="6">
        <v>2258</v>
      </c>
      <c r="R470" s="7">
        <v>939</v>
      </c>
      <c r="S470" s="9">
        <v>51</v>
      </c>
      <c r="T470" s="10">
        <v>775</v>
      </c>
      <c r="U470" s="11">
        <v>371</v>
      </c>
    </row>
    <row r="471" spans="1:41">
      <c r="A471"/>
      <c r="B471"/>
      <c r="C471" s="12" t="s">
        <v>43</v>
      </c>
      <c r="D471" s="5">
        <v>295</v>
      </c>
      <c r="E471" s="6">
        <v>3750</v>
      </c>
      <c r="F471" s="7">
        <v>1302</v>
      </c>
      <c r="G471" s="9">
        <v>127</v>
      </c>
      <c r="H471" s="10">
        <v>1486</v>
      </c>
      <c r="I471" s="11">
        <v>830</v>
      </c>
      <c r="J471" s="5">
        <v>353.34</v>
      </c>
      <c r="K471" s="6">
        <v>4695.61</v>
      </c>
      <c r="L471" s="7">
        <v>1776.75</v>
      </c>
      <c r="M471" s="9">
        <v>140.17</v>
      </c>
      <c r="N471" s="10">
        <v>1751.37</v>
      </c>
      <c r="O471" s="11">
        <v>969.54</v>
      </c>
      <c r="P471" s="5">
        <v>719</v>
      </c>
      <c r="Q471" s="6">
        <v>9643</v>
      </c>
      <c r="R471" s="7">
        <v>3626</v>
      </c>
      <c r="S471" s="9">
        <v>286</v>
      </c>
      <c r="T471" s="10">
        <v>3609</v>
      </c>
      <c r="U471" s="11">
        <v>2007</v>
      </c>
    </row>
    <row r="472" spans="1:41">
      <c r="A472"/>
      <c r="B472"/>
      <c r="C472" s="12" t="s">
        <v>17</v>
      </c>
      <c r="D472" s="5">
        <v>52</v>
      </c>
      <c r="E472" s="6">
        <v>523</v>
      </c>
      <c r="F472" s="7">
        <v>226</v>
      </c>
      <c r="G472" s="9">
        <v>11</v>
      </c>
      <c r="H472" s="10">
        <v>233</v>
      </c>
      <c r="I472" s="11">
        <v>119</v>
      </c>
      <c r="J472" s="5">
        <v>62.8</v>
      </c>
      <c r="K472" s="6">
        <v>727.04</v>
      </c>
      <c r="L472" s="7">
        <v>344.19</v>
      </c>
      <c r="M472" s="9">
        <v>9.25</v>
      </c>
      <c r="N472" s="10">
        <v>329.15</v>
      </c>
      <c r="O472" s="11">
        <v>153.76</v>
      </c>
      <c r="P472" s="5">
        <v>128</v>
      </c>
      <c r="Q472" s="6">
        <v>1497</v>
      </c>
      <c r="R472" s="7">
        <v>711</v>
      </c>
      <c r="S472" s="9">
        <v>20</v>
      </c>
      <c r="T472" s="10">
        <v>678</v>
      </c>
      <c r="U472" s="11">
        <v>325</v>
      </c>
    </row>
    <row r="473" spans="1:41">
      <c r="A473"/>
      <c r="B473"/>
      <c r="C473" s="12" t="s">
        <v>18</v>
      </c>
      <c r="D473" s="5">
        <v>13</v>
      </c>
      <c r="E473" s="6">
        <v>180</v>
      </c>
      <c r="F473" s="7">
        <v>56</v>
      </c>
      <c r="G473" s="9">
        <v>1</v>
      </c>
      <c r="H473" s="10">
        <v>80</v>
      </c>
      <c r="I473" s="11">
        <v>32</v>
      </c>
      <c r="J473" s="5">
        <v>17</v>
      </c>
      <c r="K473" s="6">
        <v>282.18</v>
      </c>
      <c r="L473" s="7">
        <v>82.2</v>
      </c>
      <c r="M473" s="9">
        <v>1.5</v>
      </c>
      <c r="N473" s="10">
        <v>114.01</v>
      </c>
      <c r="O473" s="11">
        <v>45.77</v>
      </c>
      <c r="P473" s="5">
        <v>34</v>
      </c>
      <c r="Q473" s="6">
        <v>572</v>
      </c>
      <c r="R473" s="7">
        <v>166</v>
      </c>
      <c r="S473" s="9">
        <v>3</v>
      </c>
      <c r="T473" s="10">
        <v>231</v>
      </c>
      <c r="U473" s="11">
        <v>94</v>
      </c>
    </row>
    <row r="474" spans="1:41">
      <c r="A474"/>
      <c r="B474"/>
      <c r="C474" s="12" t="s">
        <v>20</v>
      </c>
      <c r="D474" s="5">
        <v>323</v>
      </c>
      <c r="E474" s="6">
        <v>3882</v>
      </c>
      <c r="F474" s="7">
        <v>1323</v>
      </c>
      <c r="G474" s="9">
        <v>96</v>
      </c>
      <c r="H474" s="10">
        <v>1472</v>
      </c>
      <c r="I474" s="11">
        <v>810</v>
      </c>
      <c r="J474" s="5">
        <v>370.83</v>
      </c>
      <c r="K474" s="6">
        <v>5036.96</v>
      </c>
      <c r="L474" s="7">
        <v>1853.72</v>
      </c>
      <c r="M474" s="9">
        <v>111.1</v>
      </c>
      <c r="N474" s="10">
        <v>1813.03</v>
      </c>
      <c r="O474" s="11">
        <v>1023.26</v>
      </c>
      <c r="P474" s="5">
        <v>754</v>
      </c>
      <c r="Q474" s="6">
        <v>10301</v>
      </c>
      <c r="R474" s="7">
        <v>3802</v>
      </c>
      <c r="S474" s="9">
        <v>229</v>
      </c>
      <c r="T474" s="10">
        <v>3723</v>
      </c>
      <c r="U474" s="11">
        <v>2101</v>
      </c>
    </row>
    <row r="475" spans="1:41">
      <c r="A475"/>
      <c r="B475"/>
      <c r="C475" s="12" t="s">
        <v>44</v>
      </c>
      <c r="D475" s="5">
        <v>9</v>
      </c>
      <c r="E475" s="6">
        <v>206</v>
      </c>
      <c r="F475" s="7">
        <v>64</v>
      </c>
      <c r="G475" s="9">
        <v>11</v>
      </c>
      <c r="H475" s="10">
        <v>120</v>
      </c>
      <c r="I475" s="11">
        <v>56</v>
      </c>
      <c r="J475" s="5">
        <v>11.5</v>
      </c>
      <c r="K475" s="6">
        <v>227.89</v>
      </c>
      <c r="L475" s="7">
        <v>83</v>
      </c>
      <c r="M475" s="9">
        <v>10.5</v>
      </c>
      <c r="N475" s="10">
        <v>150.12</v>
      </c>
      <c r="O475" s="11">
        <v>64.83</v>
      </c>
      <c r="P475" s="5">
        <v>23</v>
      </c>
      <c r="Q475" s="6">
        <v>468</v>
      </c>
      <c r="R475" s="7">
        <v>172</v>
      </c>
      <c r="S475" s="9">
        <v>22</v>
      </c>
      <c r="T475" s="10">
        <v>307</v>
      </c>
      <c r="U475" s="11">
        <v>133</v>
      </c>
    </row>
    <row r="476" spans="1:41">
      <c r="A476"/>
      <c r="B476"/>
      <c r="C476" s="12" t="s">
        <v>37</v>
      </c>
      <c r="D476" s="5">
        <v>23</v>
      </c>
      <c r="E476" s="6">
        <v>197</v>
      </c>
      <c r="F476" s="7">
        <v>77</v>
      </c>
      <c r="G476" s="9">
        <v>3</v>
      </c>
      <c r="H476" s="10">
        <v>77</v>
      </c>
      <c r="I476" s="11">
        <v>47</v>
      </c>
      <c r="J476" s="5">
        <v>20.25</v>
      </c>
      <c r="K476" s="6">
        <v>242.22</v>
      </c>
      <c r="L476" s="7">
        <v>92.44</v>
      </c>
      <c r="M476" s="9">
        <v>1.75</v>
      </c>
      <c r="N476" s="10">
        <v>84.99</v>
      </c>
      <c r="O476" s="11">
        <v>57.96</v>
      </c>
      <c r="P476" s="5">
        <v>41</v>
      </c>
      <c r="Q476" s="6">
        <v>506</v>
      </c>
      <c r="R476" s="7">
        <v>192</v>
      </c>
      <c r="S476" s="9">
        <v>4</v>
      </c>
      <c r="T476" s="10">
        <v>176</v>
      </c>
      <c r="U476" s="11">
        <v>121</v>
      </c>
    </row>
    <row r="477" spans="1:41">
      <c r="A477"/>
      <c r="B477"/>
      <c r="C477" s="12" t="s">
        <v>22</v>
      </c>
      <c r="D477" s="5">
        <v>0</v>
      </c>
      <c r="E477" s="6">
        <v>0</v>
      </c>
      <c r="F477" s="7">
        <v>0</v>
      </c>
      <c r="G477" s="9">
        <v>0</v>
      </c>
      <c r="H477" s="10">
        <v>0</v>
      </c>
      <c r="I477" s="11">
        <v>0</v>
      </c>
      <c r="J477" s="5">
        <v>0</v>
      </c>
      <c r="K477" s="6">
        <v>0</v>
      </c>
      <c r="L477" s="7">
        <v>0</v>
      </c>
      <c r="M477" s="9">
        <v>0</v>
      </c>
      <c r="N477" s="10">
        <v>0</v>
      </c>
      <c r="O477" s="11">
        <v>0</v>
      </c>
      <c r="P477" s="5">
        <v>0</v>
      </c>
      <c r="Q477" s="6">
        <v>0</v>
      </c>
      <c r="R477" s="7">
        <v>0</v>
      </c>
      <c r="S477" s="9">
        <v>0</v>
      </c>
      <c r="T477" s="10">
        <v>0</v>
      </c>
      <c r="U477" s="11">
        <v>0</v>
      </c>
    </row>
    <row r="478" spans="1:41">
      <c r="A478"/>
      <c r="B478"/>
      <c r="C478" s="12" t="s">
        <v>23</v>
      </c>
      <c r="D478" s="5">
        <v>15</v>
      </c>
      <c r="E478" s="6">
        <v>269</v>
      </c>
      <c r="F478" s="7">
        <v>71</v>
      </c>
      <c r="G478" s="9">
        <v>8</v>
      </c>
      <c r="H478" s="10">
        <v>121</v>
      </c>
      <c r="I478" s="11">
        <v>51</v>
      </c>
      <c r="J478" s="5">
        <v>15</v>
      </c>
      <c r="K478" s="6">
        <v>336.11</v>
      </c>
      <c r="L478" s="7">
        <v>108.6</v>
      </c>
      <c r="M478" s="9">
        <v>6.5</v>
      </c>
      <c r="N478" s="10">
        <v>128.9</v>
      </c>
      <c r="O478" s="11">
        <v>55.53</v>
      </c>
      <c r="P478" s="5">
        <v>32</v>
      </c>
      <c r="Q478" s="6">
        <v>700</v>
      </c>
      <c r="R478" s="7">
        <v>228</v>
      </c>
      <c r="S478" s="9">
        <v>13</v>
      </c>
      <c r="T478" s="10">
        <v>274</v>
      </c>
      <c r="U478" s="11">
        <v>117</v>
      </c>
    </row>
    <row r="479" spans="1:41">
      <c r="A479"/>
      <c r="B479"/>
      <c r="C479" s="12" t="s">
        <v>34</v>
      </c>
      <c r="D479" s="5">
        <v>22</v>
      </c>
      <c r="E479" s="6">
        <v>150</v>
      </c>
      <c r="F479" s="7">
        <v>33</v>
      </c>
      <c r="G479" s="9">
        <v>6</v>
      </c>
      <c r="H479" s="10">
        <v>74</v>
      </c>
      <c r="I479" s="11">
        <v>17</v>
      </c>
      <c r="J479" s="5">
        <v>30.15</v>
      </c>
      <c r="K479" s="6">
        <v>247.76</v>
      </c>
      <c r="L479" s="7">
        <v>56.33</v>
      </c>
      <c r="M479" s="9">
        <v>7.8</v>
      </c>
      <c r="N479" s="10">
        <v>120.9</v>
      </c>
      <c r="O479" s="11">
        <v>28.15</v>
      </c>
      <c r="P479" s="5">
        <v>62</v>
      </c>
      <c r="Q479" s="6">
        <v>499</v>
      </c>
      <c r="R479" s="7">
        <v>114</v>
      </c>
      <c r="S479" s="9">
        <v>16</v>
      </c>
      <c r="T479" s="10">
        <v>246</v>
      </c>
      <c r="U479" s="11">
        <v>58</v>
      </c>
    </row>
    <row r="480" spans="1:41">
      <c r="A480"/>
      <c r="B480"/>
      <c r="C480" s="12" t="s">
        <v>39</v>
      </c>
      <c r="D480" s="5">
        <v>0</v>
      </c>
      <c r="E480" s="6">
        <v>15</v>
      </c>
      <c r="F480" s="7">
        <v>5</v>
      </c>
      <c r="G480" s="9">
        <v>0</v>
      </c>
      <c r="H480" s="10">
        <v>4</v>
      </c>
      <c r="I480" s="11">
        <v>2</v>
      </c>
      <c r="J480" s="5">
        <v>0</v>
      </c>
      <c r="K480" s="6">
        <v>19.75</v>
      </c>
      <c r="L480" s="7">
        <v>7.75</v>
      </c>
      <c r="M480" s="9">
        <v>0</v>
      </c>
      <c r="N480" s="10">
        <v>4.5</v>
      </c>
      <c r="O480" s="11">
        <v>1</v>
      </c>
      <c r="P480" s="5">
        <v>0</v>
      </c>
      <c r="Q480" s="6">
        <v>40</v>
      </c>
      <c r="R480" s="7">
        <v>16</v>
      </c>
      <c r="S480" s="9">
        <v>0</v>
      </c>
      <c r="T480" s="10">
        <v>9</v>
      </c>
      <c r="U480" s="11">
        <v>2</v>
      </c>
    </row>
    <row r="481" spans="1:41">
      <c r="A481"/>
      <c r="B481"/>
      <c r="C481" s="12" t="s">
        <v>38</v>
      </c>
      <c r="D481" s="5">
        <v>1</v>
      </c>
      <c r="E481" s="6">
        <v>8</v>
      </c>
      <c r="F481" s="7">
        <v>2</v>
      </c>
      <c r="G481" s="9">
        <v>2</v>
      </c>
      <c r="H481" s="10">
        <v>3</v>
      </c>
      <c r="I481" s="11">
        <v>3</v>
      </c>
      <c r="J481" s="5">
        <v>0.75</v>
      </c>
      <c r="K481" s="6">
        <v>9</v>
      </c>
      <c r="L481" s="7">
        <v>1.75</v>
      </c>
      <c r="M481" s="9">
        <v>2.5</v>
      </c>
      <c r="N481" s="10">
        <v>2.75</v>
      </c>
      <c r="O481" s="11">
        <v>3</v>
      </c>
      <c r="P481" s="5">
        <v>2</v>
      </c>
      <c r="Q481" s="6">
        <v>18</v>
      </c>
      <c r="R481" s="7">
        <v>4</v>
      </c>
      <c r="S481" s="9">
        <v>5</v>
      </c>
      <c r="T481" s="10">
        <v>6</v>
      </c>
      <c r="U481" s="11">
        <v>6</v>
      </c>
    </row>
    <row r="482" spans="1:41">
      <c r="C482" s="13" t="s">
        <v>26</v>
      </c>
      <c r="D482" s="13" t="str">
        <f>SUM(D470:D481)</f>
        <v>0</v>
      </c>
      <c r="E482" s="13" t="str">
        <f>SUM(E470:E481)</f>
        <v>0</v>
      </c>
      <c r="F482" s="13" t="str">
        <f>SUM(F470:F481)</f>
        <v>0</v>
      </c>
      <c r="G482" s="13" t="str">
        <f>SUM(G470:G481)</f>
        <v>0</v>
      </c>
      <c r="H482" s="13" t="str">
        <f>SUM(H470:H481)</f>
        <v>0</v>
      </c>
      <c r="I482" s="13" t="str">
        <f>SUM(I470:I481)</f>
        <v>0</v>
      </c>
      <c r="J482" s="13" t="str">
        <f>SUM(J470:J481)</f>
        <v>0</v>
      </c>
      <c r="K482" s="13" t="str">
        <f>SUM(K470:K481)</f>
        <v>0</v>
      </c>
      <c r="L482" s="13" t="str">
        <f>SUM(L470:L481)</f>
        <v>0</v>
      </c>
      <c r="M482" s="13" t="str">
        <f>SUM(M470:M481)</f>
        <v>0</v>
      </c>
      <c r="N482" s="13" t="str">
        <f>SUM(N470:N481)</f>
        <v>0</v>
      </c>
      <c r="O482" s="13" t="str">
        <f>SUM(O470:O481)</f>
        <v>0</v>
      </c>
      <c r="P482" s="13" t="str">
        <f>SUM(P470:P481)</f>
        <v>0</v>
      </c>
      <c r="Q482" s="13" t="str">
        <f>SUM(Q470:Q481)</f>
        <v>0</v>
      </c>
      <c r="R482" s="13" t="str">
        <f>SUM(R470:R481)</f>
        <v>0</v>
      </c>
      <c r="S482" s="13" t="str">
        <f>SUM(S470:S481)</f>
        <v>0</v>
      </c>
      <c r="T482" s="13" t="str">
        <f>SUM(T470:T481)</f>
        <v>0</v>
      </c>
      <c r="U482" s="13" t="str">
        <f>SUM(U470:U481)</f>
        <v>0</v>
      </c>
    </row>
    <row r="483" spans="1:41">
      <c r="A483"/>
      <c r="B483" s="14" t="s">
        <v>131</v>
      </c>
      <c r="C483" s="12" t="s">
        <v>43</v>
      </c>
      <c r="D483" s="5">
        <v>12</v>
      </c>
      <c r="E483" s="6">
        <v>248</v>
      </c>
      <c r="F483" s="7">
        <v>132</v>
      </c>
      <c r="G483" s="9">
        <v>1</v>
      </c>
      <c r="H483" s="10">
        <v>67</v>
      </c>
      <c r="I483" s="11">
        <v>64</v>
      </c>
      <c r="J483" s="5">
        <v>10.42</v>
      </c>
      <c r="K483" s="6">
        <v>329.96</v>
      </c>
      <c r="L483" s="7">
        <v>178.29</v>
      </c>
      <c r="M483" s="9">
        <v>0.6</v>
      </c>
      <c r="N483" s="10">
        <v>93.3</v>
      </c>
      <c r="O483" s="11">
        <v>76.93</v>
      </c>
      <c r="P483" s="5">
        <v>24</v>
      </c>
      <c r="Q483" s="6">
        <v>690</v>
      </c>
      <c r="R483" s="7">
        <v>368</v>
      </c>
      <c r="S483" s="9">
        <v>2</v>
      </c>
      <c r="T483" s="10">
        <v>195</v>
      </c>
      <c r="U483" s="11">
        <v>162</v>
      </c>
    </row>
    <row r="484" spans="1:41">
      <c r="A484"/>
      <c r="B484"/>
      <c r="C484" s="12" t="s">
        <v>17</v>
      </c>
      <c r="D484" s="5">
        <v>0</v>
      </c>
      <c r="E484" s="6">
        <v>37</v>
      </c>
      <c r="F484" s="7">
        <v>7</v>
      </c>
      <c r="G484" s="9">
        <v>0</v>
      </c>
      <c r="H484" s="10">
        <v>3</v>
      </c>
      <c r="I484" s="11">
        <v>5</v>
      </c>
      <c r="J484" s="5">
        <v>0</v>
      </c>
      <c r="K484" s="6">
        <v>53.54</v>
      </c>
      <c r="L484" s="7">
        <v>9.1</v>
      </c>
      <c r="M484" s="9">
        <v>0</v>
      </c>
      <c r="N484" s="10">
        <v>4.25</v>
      </c>
      <c r="O484" s="11">
        <v>10.25</v>
      </c>
      <c r="P484" s="5">
        <v>0</v>
      </c>
      <c r="Q484" s="6">
        <v>110</v>
      </c>
      <c r="R484" s="7">
        <v>19</v>
      </c>
      <c r="S484" s="9">
        <v>0</v>
      </c>
      <c r="T484" s="10">
        <v>9</v>
      </c>
      <c r="U484" s="11">
        <v>21</v>
      </c>
    </row>
    <row r="485" spans="1:41">
      <c r="A485"/>
      <c r="B485"/>
      <c r="C485" s="12" t="s">
        <v>20</v>
      </c>
      <c r="D485" s="5">
        <v>0</v>
      </c>
      <c r="E485" s="6">
        <v>0</v>
      </c>
      <c r="F485" s="7">
        <v>0</v>
      </c>
      <c r="G485" s="9">
        <v>0</v>
      </c>
      <c r="H485" s="10">
        <v>0</v>
      </c>
      <c r="I485" s="11">
        <v>0</v>
      </c>
      <c r="J485" s="5">
        <v>0</v>
      </c>
      <c r="K485" s="6">
        <v>0</v>
      </c>
      <c r="L485" s="7">
        <v>0</v>
      </c>
      <c r="M485" s="9">
        <v>0</v>
      </c>
      <c r="N485" s="10">
        <v>0</v>
      </c>
      <c r="O485" s="11">
        <v>0</v>
      </c>
      <c r="P485" s="5">
        <v>0</v>
      </c>
      <c r="Q485" s="6">
        <v>0</v>
      </c>
      <c r="R485" s="7">
        <v>0</v>
      </c>
      <c r="S485" s="9">
        <v>0</v>
      </c>
      <c r="T485" s="10">
        <v>0</v>
      </c>
      <c r="U485" s="11">
        <v>0</v>
      </c>
    </row>
    <row r="486" spans="1:41">
      <c r="A486"/>
      <c r="B486"/>
      <c r="C486" s="12" t="s">
        <v>44</v>
      </c>
      <c r="D486" s="5">
        <v>0</v>
      </c>
      <c r="E486" s="6">
        <v>0</v>
      </c>
      <c r="F486" s="7">
        <v>0</v>
      </c>
      <c r="G486" s="9">
        <v>0</v>
      </c>
      <c r="H486" s="10">
        <v>0</v>
      </c>
      <c r="I486" s="11">
        <v>0</v>
      </c>
      <c r="J486" s="5">
        <v>0</v>
      </c>
      <c r="K486" s="6">
        <v>0</v>
      </c>
      <c r="L486" s="7">
        <v>0</v>
      </c>
      <c r="M486" s="9">
        <v>0</v>
      </c>
      <c r="N486" s="10">
        <v>0</v>
      </c>
      <c r="O486" s="11">
        <v>0</v>
      </c>
      <c r="P486" s="5">
        <v>0</v>
      </c>
      <c r="Q486" s="6">
        <v>0</v>
      </c>
      <c r="R486" s="7">
        <v>0</v>
      </c>
      <c r="S486" s="9">
        <v>0</v>
      </c>
      <c r="T486" s="10">
        <v>0</v>
      </c>
      <c r="U486" s="11">
        <v>0</v>
      </c>
    </row>
    <row r="487" spans="1:41">
      <c r="C487" s="13" t="s">
        <v>26</v>
      </c>
      <c r="D487" s="13" t="str">
        <f>SUM(D483:D486)</f>
        <v>0</v>
      </c>
      <c r="E487" s="13" t="str">
        <f>SUM(E483:E486)</f>
        <v>0</v>
      </c>
      <c r="F487" s="13" t="str">
        <f>SUM(F483:F486)</f>
        <v>0</v>
      </c>
      <c r="G487" s="13" t="str">
        <f>SUM(G483:G486)</f>
        <v>0</v>
      </c>
      <c r="H487" s="13" t="str">
        <f>SUM(H483:H486)</f>
        <v>0</v>
      </c>
      <c r="I487" s="13" t="str">
        <f>SUM(I483:I486)</f>
        <v>0</v>
      </c>
      <c r="J487" s="13" t="str">
        <f>SUM(J483:J486)</f>
        <v>0</v>
      </c>
      <c r="K487" s="13" t="str">
        <f>SUM(K483:K486)</f>
        <v>0</v>
      </c>
      <c r="L487" s="13" t="str">
        <f>SUM(L483:L486)</f>
        <v>0</v>
      </c>
      <c r="M487" s="13" t="str">
        <f>SUM(M483:M486)</f>
        <v>0</v>
      </c>
      <c r="N487" s="13" t="str">
        <f>SUM(N483:N486)</f>
        <v>0</v>
      </c>
      <c r="O487" s="13" t="str">
        <f>SUM(O483:O486)</f>
        <v>0</v>
      </c>
      <c r="P487" s="13" t="str">
        <f>SUM(P483:P486)</f>
        <v>0</v>
      </c>
      <c r="Q487" s="13" t="str">
        <f>SUM(Q483:Q486)</f>
        <v>0</v>
      </c>
      <c r="R487" s="13" t="str">
        <f>SUM(R483:R486)</f>
        <v>0</v>
      </c>
      <c r="S487" s="13" t="str">
        <f>SUM(S483:S486)</f>
        <v>0</v>
      </c>
      <c r="T487" s="13" t="str">
        <f>SUM(T483:T486)</f>
        <v>0</v>
      </c>
      <c r="U487" s="13" t="str">
        <f>SUM(U483:U486)</f>
        <v>0</v>
      </c>
    </row>
    <row r="488" spans="1:41">
      <c r="A488" s="9" t="s">
        <v>132</v>
      </c>
      <c r="B488" s="11" t="s">
        <v>133</v>
      </c>
      <c r="C488" s="12" t="s">
        <v>30</v>
      </c>
      <c r="D488" s="5">
        <v>32</v>
      </c>
      <c r="E488" s="6">
        <v>575</v>
      </c>
      <c r="F488" s="7">
        <v>303</v>
      </c>
      <c r="G488" s="9">
        <v>8</v>
      </c>
      <c r="H488" s="10">
        <v>228</v>
      </c>
      <c r="I488" s="11">
        <v>115</v>
      </c>
      <c r="J488" s="5">
        <v>15</v>
      </c>
      <c r="K488" s="6">
        <v>331.91</v>
      </c>
      <c r="L488" s="7">
        <v>187.69</v>
      </c>
      <c r="M488" s="9">
        <v>2.92</v>
      </c>
      <c r="N488" s="10">
        <v>116.15</v>
      </c>
      <c r="O488" s="11">
        <v>63.62</v>
      </c>
      <c r="P488" s="5">
        <v>44</v>
      </c>
      <c r="Q488" s="6">
        <v>896</v>
      </c>
      <c r="R488" s="7">
        <v>497</v>
      </c>
      <c r="S488" s="9">
        <v>10</v>
      </c>
      <c r="T488" s="10">
        <v>325</v>
      </c>
      <c r="U488" s="11">
        <v>175</v>
      </c>
    </row>
    <row r="489" spans="1:41">
      <c r="A489"/>
      <c r="B489"/>
      <c r="C489" s="12" t="s">
        <v>16</v>
      </c>
      <c r="D489" s="5">
        <v>20</v>
      </c>
      <c r="E489" s="6">
        <v>276</v>
      </c>
      <c r="F489" s="7">
        <v>126</v>
      </c>
      <c r="G489" s="9">
        <v>0</v>
      </c>
      <c r="H489" s="10">
        <v>50</v>
      </c>
      <c r="I489" s="11">
        <v>44</v>
      </c>
      <c r="J489" s="5">
        <v>12.3</v>
      </c>
      <c r="K489" s="6">
        <v>221.7</v>
      </c>
      <c r="L489" s="7">
        <v>106.2</v>
      </c>
      <c r="M489" s="9">
        <v>0</v>
      </c>
      <c r="N489" s="10">
        <v>31.12</v>
      </c>
      <c r="O489" s="11">
        <v>28.6</v>
      </c>
      <c r="P489" s="5">
        <v>28</v>
      </c>
      <c r="Q489" s="6">
        <v>523</v>
      </c>
      <c r="R489" s="7">
        <v>246</v>
      </c>
      <c r="S489" s="9">
        <v>0</v>
      </c>
      <c r="T489" s="10">
        <v>83</v>
      </c>
      <c r="U489" s="11">
        <v>71</v>
      </c>
    </row>
    <row r="490" spans="1:41">
      <c r="A490"/>
      <c r="B490"/>
      <c r="C490" s="12" t="s">
        <v>17</v>
      </c>
      <c r="D490" s="5">
        <v>10</v>
      </c>
      <c r="E490" s="6">
        <v>204</v>
      </c>
      <c r="F490" s="7">
        <v>126</v>
      </c>
      <c r="G490" s="9">
        <v>3</v>
      </c>
      <c r="H490" s="10">
        <v>50</v>
      </c>
      <c r="I490" s="11">
        <v>24</v>
      </c>
      <c r="J490" s="5">
        <v>7.95</v>
      </c>
      <c r="K490" s="6">
        <v>162.15</v>
      </c>
      <c r="L490" s="7">
        <v>94.78</v>
      </c>
      <c r="M490" s="9">
        <v>1.68</v>
      </c>
      <c r="N490" s="10">
        <v>27.69</v>
      </c>
      <c r="O490" s="11">
        <v>12.59</v>
      </c>
      <c r="P490" s="5">
        <v>19</v>
      </c>
      <c r="Q490" s="6">
        <v>377</v>
      </c>
      <c r="R490" s="7">
        <v>227</v>
      </c>
      <c r="S490" s="9">
        <v>4</v>
      </c>
      <c r="T490" s="10">
        <v>74</v>
      </c>
      <c r="U490" s="11">
        <v>33</v>
      </c>
    </row>
    <row r="491" spans="1:41">
      <c r="A491"/>
      <c r="B491"/>
      <c r="C491" s="12" t="s">
        <v>18</v>
      </c>
      <c r="D491" s="5">
        <v>22</v>
      </c>
      <c r="E491" s="6">
        <v>447</v>
      </c>
      <c r="F491" s="7">
        <v>221</v>
      </c>
      <c r="G491" s="9">
        <v>15</v>
      </c>
      <c r="H491" s="10">
        <v>201</v>
      </c>
      <c r="I491" s="11">
        <v>119</v>
      </c>
      <c r="J491" s="5">
        <v>9.63</v>
      </c>
      <c r="K491" s="6">
        <v>231.32</v>
      </c>
      <c r="L491" s="7">
        <v>114.55</v>
      </c>
      <c r="M491" s="9">
        <v>3.21</v>
      </c>
      <c r="N491" s="10">
        <v>81.05</v>
      </c>
      <c r="O491" s="11">
        <v>57.26</v>
      </c>
      <c r="P491" s="5">
        <v>29</v>
      </c>
      <c r="Q491" s="6">
        <v>634</v>
      </c>
      <c r="R491" s="7">
        <v>322</v>
      </c>
      <c r="S491" s="9">
        <v>16</v>
      </c>
      <c r="T491" s="10">
        <v>254</v>
      </c>
      <c r="U491" s="11">
        <v>161</v>
      </c>
    </row>
    <row r="492" spans="1:41">
      <c r="A492"/>
      <c r="B492"/>
      <c r="C492" s="12" t="s">
        <v>29</v>
      </c>
      <c r="D492" s="5">
        <v>7</v>
      </c>
      <c r="E492" s="6">
        <v>141</v>
      </c>
      <c r="F492" s="7">
        <v>84</v>
      </c>
      <c r="G492" s="9">
        <v>0</v>
      </c>
      <c r="H492" s="10">
        <v>62</v>
      </c>
      <c r="I492" s="11">
        <v>38</v>
      </c>
      <c r="J492" s="5">
        <v>3.02</v>
      </c>
      <c r="K492" s="6">
        <v>77.78</v>
      </c>
      <c r="L492" s="7">
        <v>45.7</v>
      </c>
      <c r="M492" s="9">
        <v>0</v>
      </c>
      <c r="N492" s="10">
        <v>21.23</v>
      </c>
      <c r="O492" s="11">
        <v>15.89</v>
      </c>
      <c r="P492" s="5">
        <v>9</v>
      </c>
      <c r="Q492" s="6">
        <v>210</v>
      </c>
      <c r="R492" s="7">
        <v>120</v>
      </c>
      <c r="S492" s="9">
        <v>0</v>
      </c>
      <c r="T492" s="10">
        <v>72</v>
      </c>
      <c r="U492" s="11">
        <v>49</v>
      </c>
    </row>
    <row r="493" spans="1:41">
      <c r="A493"/>
      <c r="B493"/>
      <c r="C493" s="12" t="s">
        <v>20</v>
      </c>
      <c r="D493" s="5">
        <v>11</v>
      </c>
      <c r="E493" s="6">
        <v>272</v>
      </c>
      <c r="F493" s="7">
        <v>144</v>
      </c>
      <c r="G493" s="9">
        <v>3</v>
      </c>
      <c r="H493" s="10">
        <v>58</v>
      </c>
      <c r="I493" s="11">
        <v>55</v>
      </c>
      <c r="J493" s="5">
        <v>3.8</v>
      </c>
      <c r="K493" s="6">
        <v>168.94</v>
      </c>
      <c r="L493" s="7">
        <v>106.77</v>
      </c>
      <c r="M493" s="9">
        <v>1.4</v>
      </c>
      <c r="N493" s="10">
        <v>29.04</v>
      </c>
      <c r="O493" s="11">
        <v>31.35</v>
      </c>
      <c r="P493" s="5">
        <v>11</v>
      </c>
      <c r="Q493" s="6">
        <v>442</v>
      </c>
      <c r="R493" s="7">
        <v>264</v>
      </c>
      <c r="S493" s="9">
        <v>4</v>
      </c>
      <c r="T493" s="10">
        <v>86</v>
      </c>
      <c r="U493" s="11">
        <v>83</v>
      </c>
    </row>
    <row r="494" spans="1:41">
      <c r="A494"/>
      <c r="B494"/>
      <c r="C494" s="12" t="s">
        <v>36</v>
      </c>
      <c r="D494" s="5">
        <v>6</v>
      </c>
      <c r="E494" s="6">
        <v>113</v>
      </c>
      <c r="F494" s="7">
        <v>50</v>
      </c>
      <c r="G494" s="9">
        <v>1</v>
      </c>
      <c r="H494" s="10">
        <v>39</v>
      </c>
      <c r="I494" s="11">
        <v>40</v>
      </c>
      <c r="J494" s="5">
        <v>2.25</v>
      </c>
      <c r="K494" s="6">
        <v>65.01</v>
      </c>
      <c r="L494" s="7">
        <v>34.51</v>
      </c>
      <c r="M494" s="9">
        <v>0.26</v>
      </c>
      <c r="N494" s="10">
        <v>18.41</v>
      </c>
      <c r="O494" s="11">
        <v>17.54</v>
      </c>
      <c r="P494" s="5">
        <v>8</v>
      </c>
      <c r="Q494" s="6">
        <v>178</v>
      </c>
      <c r="R494" s="7">
        <v>87</v>
      </c>
      <c r="S494" s="9">
        <v>1</v>
      </c>
      <c r="T494" s="10">
        <v>53</v>
      </c>
      <c r="U494" s="11">
        <v>57</v>
      </c>
    </row>
    <row r="495" spans="1:41">
      <c r="A495"/>
      <c r="B495"/>
      <c r="C495" s="12" t="s">
        <v>22</v>
      </c>
      <c r="D495" s="5">
        <v>3</v>
      </c>
      <c r="E495" s="6">
        <v>43</v>
      </c>
      <c r="F495" s="7">
        <v>23</v>
      </c>
      <c r="G495" s="9">
        <v>2</v>
      </c>
      <c r="H495" s="10">
        <v>5</v>
      </c>
      <c r="I495" s="11">
        <v>4</v>
      </c>
      <c r="J495" s="5">
        <v>0.98</v>
      </c>
      <c r="K495" s="6">
        <v>26.58</v>
      </c>
      <c r="L495" s="7">
        <v>17.48</v>
      </c>
      <c r="M495" s="9">
        <v>1.47</v>
      </c>
      <c r="N495" s="10">
        <v>4.53</v>
      </c>
      <c r="O495" s="11">
        <v>1.2</v>
      </c>
      <c r="P495" s="5">
        <v>3</v>
      </c>
      <c r="Q495" s="6">
        <v>71</v>
      </c>
      <c r="R495" s="7">
        <v>45</v>
      </c>
      <c r="S495" s="9">
        <v>4</v>
      </c>
      <c r="T495" s="10">
        <v>10</v>
      </c>
      <c r="U495" s="11">
        <v>4</v>
      </c>
    </row>
    <row r="496" spans="1:41">
      <c r="A496"/>
      <c r="B496"/>
      <c r="C496" s="12" t="s">
        <v>23</v>
      </c>
      <c r="D496" s="5">
        <v>0</v>
      </c>
      <c r="E496" s="6">
        <v>19</v>
      </c>
      <c r="F496" s="7">
        <v>5</v>
      </c>
      <c r="G496" s="9">
        <v>0</v>
      </c>
      <c r="H496" s="10">
        <v>4</v>
      </c>
      <c r="I496" s="11">
        <v>8</v>
      </c>
      <c r="J496" s="5">
        <v>0</v>
      </c>
      <c r="K496" s="6">
        <v>4.51</v>
      </c>
      <c r="L496" s="7">
        <v>1.54</v>
      </c>
      <c r="M496" s="9">
        <v>0</v>
      </c>
      <c r="N496" s="10">
        <v>0.79</v>
      </c>
      <c r="O496" s="11">
        <v>2.02</v>
      </c>
      <c r="P496" s="5">
        <v>0</v>
      </c>
      <c r="Q496" s="6">
        <v>19</v>
      </c>
      <c r="R496" s="7">
        <v>5</v>
      </c>
      <c r="S496" s="9">
        <v>0</v>
      </c>
      <c r="T496" s="10">
        <v>4</v>
      </c>
      <c r="U496" s="11">
        <v>8</v>
      </c>
    </row>
    <row r="497" spans="1:41">
      <c r="A497"/>
      <c r="B497"/>
      <c r="C497" s="12" t="s">
        <v>35</v>
      </c>
      <c r="D497" s="5">
        <v>9</v>
      </c>
      <c r="E497" s="6">
        <v>236</v>
      </c>
      <c r="F497" s="7">
        <v>141</v>
      </c>
      <c r="G497" s="9">
        <v>6</v>
      </c>
      <c r="H497" s="10">
        <v>80</v>
      </c>
      <c r="I497" s="11">
        <v>51</v>
      </c>
      <c r="J497" s="5">
        <v>3.7</v>
      </c>
      <c r="K497" s="6">
        <v>122.5</v>
      </c>
      <c r="L497" s="7">
        <v>87.76</v>
      </c>
      <c r="M497" s="9">
        <v>2.17</v>
      </c>
      <c r="N497" s="10">
        <v>34.04</v>
      </c>
      <c r="O497" s="11">
        <v>25.33</v>
      </c>
      <c r="P497" s="5">
        <v>11</v>
      </c>
      <c r="Q497" s="6">
        <v>340</v>
      </c>
      <c r="R497" s="7">
        <v>232</v>
      </c>
      <c r="S497" s="9">
        <v>8</v>
      </c>
      <c r="T497" s="10">
        <v>100</v>
      </c>
      <c r="U497" s="11">
        <v>72</v>
      </c>
    </row>
    <row r="498" spans="1:41">
      <c r="C498" s="13" t="s">
        <v>26</v>
      </c>
      <c r="D498" s="13" t="str">
        <f>SUM(D488:D497)</f>
        <v>0</v>
      </c>
      <c r="E498" s="13" t="str">
        <f>SUM(E488:E497)</f>
        <v>0</v>
      </c>
      <c r="F498" s="13" t="str">
        <f>SUM(F488:F497)</f>
        <v>0</v>
      </c>
      <c r="G498" s="13" t="str">
        <f>SUM(G488:G497)</f>
        <v>0</v>
      </c>
      <c r="H498" s="13" t="str">
        <f>SUM(H488:H497)</f>
        <v>0</v>
      </c>
      <c r="I498" s="13" t="str">
        <f>SUM(I488:I497)</f>
        <v>0</v>
      </c>
      <c r="J498" s="13" t="str">
        <f>SUM(J488:J497)</f>
        <v>0</v>
      </c>
      <c r="K498" s="13" t="str">
        <f>SUM(K488:K497)</f>
        <v>0</v>
      </c>
      <c r="L498" s="13" t="str">
        <f>SUM(L488:L497)</f>
        <v>0</v>
      </c>
      <c r="M498" s="13" t="str">
        <f>SUM(M488:M497)</f>
        <v>0</v>
      </c>
      <c r="N498" s="13" t="str">
        <f>SUM(N488:N497)</f>
        <v>0</v>
      </c>
      <c r="O498" s="13" t="str">
        <f>SUM(O488:O497)</f>
        <v>0</v>
      </c>
      <c r="P498" s="13" t="str">
        <f>SUM(P488:P497)</f>
        <v>0</v>
      </c>
      <c r="Q498" s="13" t="str">
        <f>SUM(Q488:Q497)</f>
        <v>0</v>
      </c>
      <c r="R498" s="13" t="str">
        <f>SUM(R488:R497)</f>
        <v>0</v>
      </c>
      <c r="S498" s="13" t="str">
        <f>SUM(S488:S497)</f>
        <v>0</v>
      </c>
      <c r="T498" s="13" t="str">
        <f>SUM(T488:T497)</f>
        <v>0</v>
      </c>
      <c r="U498" s="13" t="str">
        <f>SUM(U488:U497)</f>
        <v>0</v>
      </c>
    </row>
    <row r="499" spans="1:41">
      <c r="A499"/>
      <c r="B499" s="14" t="s">
        <v>134</v>
      </c>
      <c r="C499" s="12" t="s">
        <v>30</v>
      </c>
      <c r="D499" s="5">
        <v>1</v>
      </c>
      <c r="E499" s="6">
        <v>13</v>
      </c>
      <c r="F499" s="7">
        <v>12</v>
      </c>
      <c r="G499" s="9">
        <v>0</v>
      </c>
      <c r="H499" s="10">
        <v>30</v>
      </c>
      <c r="I499" s="11">
        <v>14</v>
      </c>
      <c r="J499" s="5">
        <v>0.2</v>
      </c>
      <c r="K499" s="6">
        <v>6.16</v>
      </c>
      <c r="L499" s="7">
        <v>6.93</v>
      </c>
      <c r="M499" s="9">
        <v>0</v>
      </c>
      <c r="N499" s="10">
        <v>14.56</v>
      </c>
      <c r="O499" s="11">
        <v>6.63</v>
      </c>
      <c r="P499" s="5">
        <v>1</v>
      </c>
      <c r="Q499" s="6">
        <v>17</v>
      </c>
      <c r="R499" s="7">
        <v>19</v>
      </c>
      <c r="S499" s="9">
        <v>0</v>
      </c>
      <c r="T499" s="10">
        <v>42</v>
      </c>
      <c r="U499" s="11">
        <v>19</v>
      </c>
    </row>
    <row r="500" spans="1:41">
      <c r="A500"/>
      <c r="B500"/>
      <c r="C500" s="12" t="s">
        <v>17</v>
      </c>
      <c r="D500" s="5">
        <v>0</v>
      </c>
      <c r="E500" s="6">
        <v>49</v>
      </c>
      <c r="F500" s="7">
        <v>34</v>
      </c>
      <c r="G500" s="9">
        <v>2</v>
      </c>
      <c r="H500" s="10">
        <v>31</v>
      </c>
      <c r="I500" s="11">
        <v>29</v>
      </c>
      <c r="J500" s="5">
        <v>0</v>
      </c>
      <c r="K500" s="6">
        <v>22.38</v>
      </c>
      <c r="L500" s="7">
        <v>17.88</v>
      </c>
      <c r="M500" s="9">
        <v>0.7</v>
      </c>
      <c r="N500" s="10">
        <v>11.6</v>
      </c>
      <c r="O500" s="11">
        <v>10.64</v>
      </c>
      <c r="P500" s="5">
        <v>0</v>
      </c>
      <c r="Q500" s="6">
        <v>68</v>
      </c>
      <c r="R500" s="7">
        <v>47</v>
      </c>
      <c r="S500" s="9">
        <v>2</v>
      </c>
      <c r="T500" s="10">
        <v>37</v>
      </c>
      <c r="U500" s="11">
        <v>34</v>
      </c>
    </row>
    <row r="501" spans="1:41">
      <c r="A501"/>
      <c r="B501"/>
      <c r="C501" s="12" t="s">
        <v>18</v>
      </c>
      <c r="D501" s="5">
        <v>1</v>
      </c>
      <c r="E501" s="6">
        <v>19</v>
      </c>
      <c r="F501" s="7">
        <v>11</v>
      </c>
      <c r="G501" s="9">
        <v>1</v>
      </c>
      <c r="H501" s="10">
        <v>11</v>
      </c>
      <c r="I501" s="11">
        <v>13</v>
      </c>
      <c r="J501" s="5">
        <v>0.26</v>
      </c>
      <c r="K501" s="6">
        <v>5.89</v>
      </c>
      <c r="L501" s="7">
        <v>3.54</v>
      </c>
      <c r="M501" s="9">
        <v>0.1</v>
      </c>
      <c r="N501" s="10">
        <v>2.9</v>
      </c>
      <c r="O501" s="11">
        <v>4.4</v>
      </c>
      <c r="P501" s="5">
        <v>1</v>
      </c>
      <c r="Q501" s="6">
        <v>22</v>
      </c>
      <c r="R501" s="7">
        <v>12</v>
      </c>
      <c r="S501" s="9">
        <v>1</v>
      </c>
      <c r="T501" s="10">
        <v>12</v>
      </c>
      <c r="U501" s="11">
        <v>17</v>
      </c>
    </row>
    <row r="502" spans="1:41">
      <c r="A502"/>
      <c r="B502"/>
      <c r="C502" s="12" t="s">
        <v>29</v>
      </c>
      <c r="D502" s="5">
        <v>4</v>
      </c>
      <c r="E502" s="6">
        <v>82</v>
      </c>
      <c r="F502" s="7">
        <v>50</v>
      </c>
      <c r="G502" s="9">
        <v>4</v>
      </c>
      <c r="H502" s="10">
        <v>72</v>
      </c>
      <c r="I502" s="11">
        <v>46</v>
      </c>
      <c r="J502" s="5">
        <v>2.08</v>
      </c>
      <c r="K502" s="6">
        <v>36.97</v>
      </c>
      <c r="L502" s="7">
        <v>19.65</v>
      </c>
      <c r="M502" s="9">
        <v>1.7</v>
      </c>
      <c r="N502" s="10">
        <v>30.02</v>
      </c>
      <c r="O502" s="11">
        <v>19.3</v>
      </c>
      <c r="P502" s="5">
        <v>5</v>
      </c>
      <c r="Q502" s="6">
        <v>112</v>
      </c>
      <c r="R502" s="7">
        <v>62</v>
      </c>
      <c r="S502" s="9">
        <v>5</v>
      </c>
      <c r="T502" s="10">
        <v>94</v>
      </c>
      <c r="U502" s="11">
        <v>60</v>
      </c>
    </row>
    <row r="503" spans="1:41">
      <c r="A503"/>
      <c r="B503"/>
      <c r="C503" s="12" t="s">
        <v>20</v>
      </c>
      <c r="D503" s="5">
        <v>0</v>
      </c>
      <c r="E503" s="6">
        <v>5</v>
      </c>
      <c r="F503" s="7">
        <v>6</v>
      </c>
      <c r="G503" s="9">
        <v>0</v>
      </c>
      <c r="H503" s="10">
        <v>4</v>
      </c>
      <c r="I503" s="11">
        <v>4</v>
      </c>
      <c r="J503" s="5">
        <v>0</v>
      </c>
      <c r="K503" s="6">
        <v>2.03</v>
      </c>
      <c r="L503" s="7">
        <v>1.9</v>
      </c>
      <c r="M503" s="9">
        <v>0</v>
      </c>
      <c r="N503" s="10">
        <v>1.02</v>
      </c>
      <c r="O503" s="11">
        <v>1.06</v>
      </c>
      <c r="P503" s="5">
        <v>0</v>
      </c>
      <c r="Q503" s="6">
        <v>6</v>
      </c>
      <c r="R503" s="7">
        <v>6</v>
      </c>
      <c r="S503" s="9">
        <v>0</v>
      </c>
      <c r="T503" s="10">
        <v>4</v>
      </c>
      <c r="U503" s="11">
        <v>4</v>
      </c>
    </row>
    <row r="504" spans="1:41">
      <c r="A504"/>
      <c r="B504"/>
      <c r="C504" s="12" t="s">
        <v>36</v>
      </c>
      <c r="D504" s="5">
        <v>0</v>
      </c>
      <c r="E504" s="6">
        <v>29</v>
      </c>
      <c r="F504" s="7">
        <v>19</v>
      </c>
      <c r="G504" s="9">
        <v>0</v>
      </c>
      <c r="H504" s="10">
        <v>12</v>
      </c>
      <c r="I504" s="11">
        <v>18</v>
      </c>
      <c r="J504" s="5">
        <v>0</v>
      </c>
      <c r="K504" s="6">
        <v>10.76</v>
      </c>
      <c r="L504" s="7">
        <v>5.5</v>
      </c>
      <c r="M504" s="9">
        <v>0</v>
      </c>
      <c r="N504" s="10">
        <v>3.45</v>
      </c>
      <c r="O504" s="11">
        <v>5.33</v>
      </c>
      <c r="P504" s="5">
        <v>0</v>
      </c>
      <c r="Q504" s="6">
        <v>40</v>
      </c>
      <c r="R504" s="7">
        <v>23</v>
      </c>
      <c r="S504" s="9">
        <v>0</v>
      </c>
      <c r="T504" s="10">
        <v>15</v>
      </c>
      <c r="U504" s="11">
        <v>22</v>
      </c>
    </row>
    <row r="505" spans="1:41">
      <c r="A505"/>
      <c r="B505"/>
      <c r="C505" s="12" t="s">
        <v>23</v>
      </c>
      <c r="D505" s="5">
        <v>1</v>
      </c>
      <c r="E505" s="6">
        <v>26</v>
      </c>
      <c r="F505" s="7">
        <v>14</v>
      </c>
      <c r="G505" s="9">
        <v>0</v>
      </c>
      <c r="H505" s="10">
        <v>9</v>
      </c>
      <c r="I505" s="11">
        <v>21</v>
      </c>
      <c r="J505" s="5">
        <v>0.3</v>
      </c>
      <c r="K505" s="6">
        <v>10.12</v>
      </c>
      <c r="L505" s="7">
        <v>6.88</v>
      </c>
      <c r="M505" s="9">
        <v>0</v>
      </c>
      <c r="N505" s="10">
        <v>2.69</v>
      </c>
      <c r="O505" s="11">
        <v>6.51</v>
      </c>
      <c r="P505" s="5">
        <v>1</v>
      </c>
      <c r="Q505" s="6">
        <v>30</v>
      </c>
      <c r="R505" s="7">
        <v>18</v>
      </c>
      <c r="S505" s="9">
        <v>0</v>
      </c>
      <c r="T505" s="10">
        <v>9</v>
      </c>
      <c r="U505" s="11">
        <v>22</v>
      </c>
    </row>
    <row r="506" spans="1:41">
      <c r="C506" s="13" t="s">
        <v>26</v>
      </c>
      <c r="D506" s="13" t="str">
        <f>SUM(D499:D505)</f>
        <v>0</v>
      </c>
      <c r="E506" s="13" t="str">
        <f>SUM(E499:E505)</f>
        <v>0</v>
      </c>
      <c r="F506" s="13" t="str">
        <f>SUM(F499:F505)</f>
        <v>0</v>
      </c>
      <c r="G506" s="13" t="str">
        <f>SUM(G499:G505)</f>
        <v>0</v>
      </c>
      <c r="H506" s="13" t="str">
        <f>SUM(H499:H505)</f>
        <v>0</v>
      </c>
      <c r="I506" s="13" t="str">
        <f>SUM(I499:I505)</f>
        <v>0</v>
      </c>
      <c r="J506" s="13" t="str">
        <f>SUM(J499:J505)</f>
        <v>0</v>
      </c>
      <c r="K506" s="13" t="str">
        <f>SUM(K499:K505)</f>
        <v>0</v>
      </c>
      <c r="L506" s="13" t="str">
        <f>SUM(L499:L505)</f>
        <v>0</v>
      </c>
      <c r="M506" s="13" t="str">
        <f>SUM(M499:M505)</f>
        <v>0</v>
      </c>
      <c r="N506" s="13" t="str">
        <f>SUM(N499:N505)</f>
        <v>0</v>
      </c>
      <c r="O506" s="13" t="str">
        <f>SUM(O499:O505)</f>
        <v>0</v>
      </c>
      <c r="P506" s="13" t="str">
        <f>SUM(P499:P505)</f>
        <v>0</v>
      </c>
      <c r="Q506" s="13" t="str">
        <f>SUM(Q499:Q505)</f>
        <v>0</v>
      </c>
      <c r="R506" s="13" t="str">
        <f>SUM(R499:R505)</f>
        <v>0</v>
      </c>
      <c r="S506" s="13" t="str">
        <f>SUM(S499:S505)</f>
        <v>0</v>
      </c>
      <c r="T506" s="13" t="str">
        <f>SUM(T499:T505)</f>
        <v>0</v>
      </c>
      <c r="U506" s="13" t="str">
        <f>SUM(U499:U505)</f>
        <v>0</v>
      </c>
    </row>
    <row r="507" spans="1:41">
      <c r="A507"/>
      <c r="B507" s="14" t="s">
        <v>135</v>
      </c>
      <c r="C507" s="12" t="s">
        <v>30</v>
      </c>
      <c r="D507" s="5">
        <v>13</v>
      </c>
      <c r="E507" s="6">
        <v>192</v>
      </c>
      <c r="F507" s="7">
        <v>73</v>
      </c>
      <c r="G507" s="9">
        <v>10</v>
      </c>
      <c r="H507" s="10">
        <v>145</v>
      </c>
      <c r="I507" s="11">
        <v>47</v>
      </c>
      <c r="J507" s="5">
        <v>10.89</v>
      </c>
      <c r="K507" s="6">
        <v>173.87</v>
      </c>
      <c r="L507" s="7">
        <v>71</v>
      </c>
      <c r="M507" s="9">
        <v>4.58</v>
      </c>
      <c r="N507" s="10">
        <v>92.93</v>
      </c>
      <c r="O507" s="11">
        <v>36.17</v>
      </c>
      <c r="P507" s="5">
        <v>24</v>
      </c>
      <c r="Q507" s="6">
        <v>404</v>
      </c>
      <c r="R507" s="7">
        <v>162</v>
      </c>
      <c r="S507" s="9">
        <v>13</v>
      </c>
      <c r="T507" s="10">
        <v>232</v>
      </c>
      <c r="U507" s="11">
        <v>89</v>
      </c>
    </row>
    <row r="508" spans="1:41">
      <c r="A508"/>
      <c r="B508"/>
      <c r="C508" s="12" t="s">
        <v>16</v>
      </c>
      <c r="D508" s="5">
        <v>6</v>
      </c>
      <c r="E508" s="6">
        <v>52</v>
      </c>
      <c r="F508" s="7">
        <v>17</v>
      </c>
      <c r="G508" s="9">
        <v>2</v>
      </c>
      <c r="H508" s="10">
        <v>47</v>
      </c>
      <c r="I508" s="11">
        <v>14</v>
      </c>
      <c r="J508" s="5">
        <v>2.5</v>
      </c>
      <c r="K508" s="6">
        <v>36.62</v>
      </c>
      <c r="L508" s="7">
        <v>12.29</v>
      </c>
      <c r="M508" s="9">
        <v>1.5</v>
      </c>
      <c r="N508" s="10">
        <v>29.06</v>
      </c>
      <c r="O508" s="11">
        <v>9.8</v>
      </c>
      <c r="P508" s="5">
        <v>7</v>
      </c>
      <c r="Q508" s="6">
        <v>88</v>
      </c>
      <c r="R508" s="7">
        <v>28</v>
      </c>
      <c r="S508" s="9">
        <v>3</v>
      </c>
      <c r="T508" s="10">
        <v>72</v>
      </c>
      <c r="U508" s="11">
        <v>22</v>
      </c>
    </row>
    <row r="509" spans="1:41">
      <c r="A509"/>
      <c r="B509"/>
      <c r="C509" s="12" t="s">
        <v>17</v>
      </c>
      <c r="D509" s="5">
        <v>7</v>
      </c>
      <c r="E509" s="6">
        <v>74</v>
      </c>
      <c r="F509" s="7">
        <v>22</v>
      </c>
      <c r="G509" s="9">
        <v>2</v>
      </c>
      <c r="H509" s="10">
        <v>42</v>
      </c>
      <c r="I509" s="11">
        <v>28</v>
      </c>
      <c r="J509" s="5">
        <v>4.52</v>
      </c>
      <c r="K509" s="6">
        <v>62.88</v>
      </c>
      <c r="L509" s="7">
        <v>21.34</v>
      </c>
      <c r="M509" s="9">
        <v>4</v>
      </c>
      <c r="N509" s="10">
        <v>33.4</v>
      </c>
      <c r="O509" s="11">
        <v>22.82</v>
      </c>
      <c r="P509" s="5">
        <v>11</v>
      </c>
      <c r="Q509" s="6">
        <v>149</v>
      </c>
      <c r="R509" s="7">
        <v>50</v>
      </c>
      <c r="S509" s="9">
        <v>8</v>
      </c>
      <c r="T509" s="10">
        <v>78</v>
      </c>
      <c r="U509" s="11">
        <v>54</v>
      </c>
    </row>
    <row r="510" spans="1:41">
      <c r="A510"/>
      <c r="B510"/>
      <c r="C510" s="12" t="s">
        <v>18</v>
      </c>
      <c r="D510" s="5">
        <v>13</v>
      </c>
      <c r="E510" s="6">
        <v>140</v>
      </c>
      <c r="F510" s="7">
        <v>52</v>
      </c>
      <c r="G510" s="9">
        <v>3</v>
      </c>
      <c r="H510" s="10">
        <v>89</v>
      </c>
      <c r="I510" s="11">
        <v>53</v>
      </c>
      <c r="J510" s="5">
        <v>8.8</v>
      </c>
      <c r="K510" s="6">
        <v>121.66</v>
      </c>
      <c r="L510" s="7">
        <v>47.15</v>
      </c>
      <c r="M510" s="9">
        <v>1.8</v>
      </c>
      <c r="N510" s="10">
        <v>72.82</v>
      </c>
      <c r="O510" s="11">
        <v>47.6</v>
      </c>
      <c r="P510" s="5">
        <v>20</v>
      </c>
      <c r="Q510" s="6">
        <v>288</v>
      </c>
      <c r="R510" s="7">
        <v>110</v>
      </c>
      <c r="S510" s="9">
        <v>4</v>
      </c>
      <c r="T510" s="10">
        <v>171</v>
      </c>
      <c r="U510" s="11">
        <v>109</v>
      </c>
    </row>
    <row r="511" spans="1:41">
      <c r="A511"/>
      <c r="B511"/>
      <c r="C511" s="12" t="s">
        <v>29</v>
      </c>
      <c r="D511" s="5">
        <v>17</v>
      </c>
      <c r="E511" s="6">
        <v>255</v>
      </c>
      <c r="F511" s="7">
        <v>108</v>
      </c>
      <c r="G511" s="9">
        <v>4</v>
      </c>
      <c r="H511" s="10">
        <v>181</v>
      </c>
      <c r="I511" s="11">
        <v>74</v>
      </c>
      <c r="J511" s="5">
        <v>13.18</v>
      </c>
      <c r="K511" s="6">
        <v>223.45</v>
      </c>
      <c r="L511" s="7">
        <v>121.56</v>
      </c>
      <c r="M511" s="9">
        <v>3</v>
      </c>
      <c r="N511" s="10">
        <v>155.92</v>
      </c>
      <c r="O511" s="11">
        <v>74.82</v>
      </c>
      <c r="P511" s="5">
        <v>29</v>
      </c>
      <c r="Q511" s="6">
        <v>512</v>
      </c>
      <c r="R511" s="7">
        <v>268</v>
      </c>
      <c r="S511" s="9">
        <v>7</v>
      </c>
      <c r="T511" s="10">
        <v>361</v>
      </c>
      <c r="U511" s="11">
        <v>168</v>
      </c>
    </row>
    <row r="512" spans="1:41">
      <c r="A512"/>
      <c r="B512"/>
      <c r="C512" s="12" t="s">
        <v>20</v>
      </c>
      <c r="D512" s="5">
        <v>21</v>
      </c>
      <c r="E512" s="6">
        <v>257</v>
      </c>
      <c r="F512" s="7">
        <v>102</v>
      </c>
      <c r="G512" s="9">
        <v>7</v>
      </c>
      <c r="H512" s="10">
        <v>166</v>
      </c>
      <c r="I512" s="11">
        <v>68</v>
      </c>
      <c r="J512" s="5">
        <v>15.07</v>
      </c>
      <c r="K512" s="6">
        <v>237.05</v>
      </c>
      <c r="L512" s="7">
        <v>128.07</v>
      </c>
      <c r="M512" s="9">
        <v>3.93</v>
      </c>
      <c r="N512" s="10">
        <v>132.25</v>
      </c>
      <c r="O512" s="11">
        <v>68.21</v>
      </c>
      <c r="P512" s="5">
        <v>35</v>
      </c>
      <c r="Q512" s="6">
        <v>539</v>
      </c>
      <c r="R512" s="7">
        <v>285</v>
      </c>
      <c r="S512" s="9">
        <v>9</v>
      </c>
      <c r="T512" s="10">
        <v>306</v>
      </c>
      <c r="U512" s="11">
        <v>154</v>
      </c>
    </row>
    <row r="513" spans="1:41">
      <c r="A513"/>
      <c r="B513"/>
      <c r="C513" s="12" t="s">
        <v>36</v>
      </c>
      <c r="D513" s="5">
        <v>1</v>
      </c>
      <c r="E513" s="6">
        <v>17</v>
      </c>
      <c r="F513" s="7">
        <v>3</v>
      </c>
      <c r="G513" s="9">
        <v>0</v>
      </c>
      <c r="H513" s="10">
        <v>7</v>
      </c>
      <c r="I513" s="11">
        <v>5</v>
      </c>
      <c r="J513" s="5">
        <v>0.5</v>
      </c>
      <c r="K513" s="6">
        <v>9.7</v>
      </c>
      <c r="L513" s="7">
        <v>2.7</v>
      </c>
      <c r="M513" s="9">
        <v>0</v>
      </c>
      <c r="N513" s="10">
        <v>4.8</v>
      </c>
      <c r="O513" s="11">
        <v>3.47</v>
      </c>
      <c r="P513" s="5">
        <v>1</v>
      </c>
      <c r="Q513" s="6">
        <v>27</v>
      </c>
      <c r="R513" s="7">
        <v>7</v>
      </c>
      <c r="S513" s="9">
        <v>0</v>
      </c>
      <c r="T513" s="10">
        <v>12</v>
      </c>
      <c r="U513" s="11">
        <v>8</v>
      </c>
    </row>
    <row r="514" spans="1:41">
      <c r="A514"/>
      <c r="B514"/>
      <c r="C514" s="12" t="s">
        <v>22</v>
      </c>
      <c r="D514" s="5">
        <v>1</v>
      </c>
      <c r="E514" s="6">
        <v>27</v>
      </c>
      <c r="F514" s="7">
        <v>14</v>
      </c>
      <c r="G514" s="9">
        <v>0</v>
      </c>
      <c r="H514" s="10">
        <v>13</v>
      </c>
      <c r="I514" s="11">
        <v>14</v>
      </c>
      <c r="J514" s="5">
        <v>1.3</v>
      </c>
      <c r="K514" s="6">
        <v>25.34</v>
      </c>
      <c r="L514" s="7">
        <v>13.11</v>
      </c>
      <c r="M514" s="9">
        <v>0</v>
      </c>
      <c r="N514" s="10">
        <v>10.53</v>
      </c>
      <c r="O514" s="11">
        <v>11.48</v>
      </c>
      <c r="P514" s="5">
        <v>3</v>
      </c>
      <c r="Q514" s="6">
        <v>61</v>
      </c>
      <c r="R514" s="7">
        <v>31</v>
      </c>
      <c r="S514" s="9">
        <v>0</v>
      </c>
      <c r="T514" s="10">
        <v>24</v>
      </c>
      <c r="U514" s="11">
        <v>27</v>
      </c>
    </row>
    <row r="515" spans="1:41">
      <c r="A515"/>
      <c r="B515"/>
      <c r="C515" s="12" t="s">
        <v>23</v>
      </c>
      <c r="D515" s="5">
        <v>3</v>
      </c>
      <c r="E515" s="6">
        <v>32</v>
      </c>
      <c r="F515" s="7">
        <v>14</v>
      </c>
      <c r="G515" s="9">
        <v>4</v>
      </c>
      <c r="H515" s="10">
        <v>28</v>
      </c>
      <c r="I515" s="11">
        <v>13</v>
      </c>
      <c r="J515" s="5">
        <v>1.5</v>
      </c>
      <c r="K515" s="6">
        <v>18.79</v>
      </c>
      <c r="L515" s="7">
        <v>10</v>
      </c>
      <c r="M515" s="9">
        <v>3.66</v>
      </c>
      <c r="N515" s="10">
        <v>17.1</v>
      </c>
      <c r="O515" s="11">
        <v>10.65</v>
      </c>
      <c r="P515" s="5">
        <v>3</v>
      </c>
      <c r="Q515" s="6">
        <v>49</v>
      </c>
      <c r="R515" s="7">
        <v>23</v>
      </c>
      <c r="S515" s="9">
        <v>8</v>
      </c>
      <c r="T515" s="10">
        <v>43</v>
      </c>
      <c r="U515" s="11">
        <v>26</v>
      </c>
    </row>
    <row r="516" spans="1:41">
      <c r="A516"/>
      <c r="B516"/>
      <c r="C516" s="12" t="s">
        <v>35</v>
      </c>
      <c r="D516" s="5">
        <v>5</v>
      </c>
      <c r="E516" s="6">
        <v>99</v>
      </c>
      <c r="F516" s="7">
        <v>21</v>
      </c>
      <c r="G516" s="9">
        <v>8</v>
      </c>
      <c r="H516" s="10">
        <v>66</v>
      </c>
      <c r="I516" s="11">
        <v>19</v>
      </c>
      <c r="J516" s="5">
        <v>1.65</v>
      </c>
      <c r="K516" s="6">
        <v>56</v>
      </c>
      <c r="L516" s="7">
        <v>10.95</v>
      </c>
      <c r="M516" s="9">
        <v>2.35</v>
      </c>
      <c r="N516" s="10">
        <v>31.83</v>
      </c>
      <c r="O516" s="11">
        <v>8.65</v>
      </c>
      <c r="P516" s="5">
        <v>5</v>
      </c>
      <c r="Q516" s="6">
        <v>146</v>
      </c>
      <c r="R516" s="7">
        <v>31</v>
      </c>
      <c r="S516" s="9">
        <v>8</v>
      </c>
      <c r="T516" s="10">
        <v>90</v>
      </c>
      <c r="U516" s="11">
        <v>22</v>
      </c>
    </row>
    <row r="517" spans="1:41">
      <c r="C517" s="13" t="s">
        <v>26</v>
      </c>
      <c r="D517" s="13" t="str">
        <f>SUM(D507:D516)</f>
        <v>0</v>
      </c>
      <c r="E517" s="13" t="str">
        <f>SUM(E507:E516)</f>
        <v>0</v>
      </c>
      <c r="F517" s="13" t="str">
        <f>SUM(F507:F516)</f>
        <v>0</v>
      </c>
      <c r="G517" s="13" t="str">
        <f>SUM(G507:G516)</f>
        <v>0</v>
      </c>
      <c r="H517" s="13" t="str">
        <f>SUM(H507:H516)</f>
        <v>0</v>
      </c>
      <c r="I517" s="13" t="str">
        <f>SUM(I507:I516)</f>
        <v>0</v>
      </c>
      <c r="J517" s="13" t="str">
        <f>SUM(J507:J516)</f>
        <v>0</v>
      </c>
      <c r="K517" s="13" t="str">
        <f>SUM(K507:K516)</f>
        <v>0</v>
      </c>
      <c r="L517" s="13" t="str">
        <f>SUM(L507:L516)</f>
        <v>0</v>
      </c>
      <c r="M517" s="13" t="str">
        <f>SUM(M507:M516)</f>
        <v>0</v>
      </c>
      <c r="N517" s="13" t="str">
        <f>SUM(N507:N516)</f>
        <v>0</v>
      </c>
      <c r="O517" s="13" t="str">
        <f>SUM(O507:O516)</f>
        <v>0</v>
      </c>
      <c r="P517" s="13" t="str">
        <f>SUM(P507:P516)</f>
        <v>0</v>
      </c>
      <c r="Q517" s="13" t="str">
        <f>SUM(Q507:Q516)</f>
        <v>0</v>
      </c>
      <c r="R517" s="13" t="str">
        <f>SUM(R507:R516)</f>
        <v>0</v>
      </c>
      <c r="S517" s="13" t="str">
        <f>SUM(S507:S516)</f>
        <v>0</v>
      </c>
      <c r="T517" s="13" t="str">
        <f>SUM(T507:T516)</f>
        <v>0</v>
      </c>
      <c r="U517" s="13" t="str">
        <f>SUM(U507:U516)</f>
        <v>0</v>
      </c>
    </row>
    <row r="518" spans="1:41">
      <c r="A518"/>
      <c r="B518" s="14" t="s">
        <v>136</v>
      </c>
      <c r="C518" s="12" t="s">
        <v>30</v>
      </c>
      <c r="D518" s="5">
        <v>7</v>
      </c>
      <c r="E518" s="6">
        <v>121</v>
      </c>
      <c r="F518" s="7">
        <v>57</v>
      </c>
      <c r="G518" s="9">
        <v>6</v>
      </c>
      <c r="H518" s="10">
        <v>80</v>
      </c>
      <c r="I518" s="11">
        <v>33</v>
      </c>
      <c r="J518" s="5">
        <v>4.56</v>
      </c>
      <c r="K518" s="6">
        <v>215.28</v>
      </c>
      <c r="L518" s="7">
        <v>101.9</v>
      </c>
      <c r="M518" s="9">
        <v>4.95</v>
      </c>
      <c r="N518" s="10">
        <v>126.73</v>
      </c>
      <c r="O518" s="11">
        <v>56.44</v>
      </c>
      <c r="P518" s="5">
        <v>10</v>
      </c>
      <c r="Q518" s="6">
        <v>476</v>
      </c>
      <c r="R518" s="7">
        <v>219</v>
      </c>
      <c r="S518" s="9">
        <v>11</v>
      </c>
      <c r="T518" s="10">
        <v>281</v>
      </c>
      <c r="U518" s="11">
        <v>123</v>
      </c>
    </row>
    <row r="519" spans="1:41">
      <c r="A519"/>
      <c r="B519"/>
      <c r="C519" s="12" t="s">
        <v>16</v>
      </c>
      <c r="D519" s="5">
        <v>30</v>
      </c>
      <c r="E519" s="6">
        <v>303</v>
      </c>
      <c r="F519" s="7">
        <v>127</v>
      </c>
      <c r="G519" s="9">
        <v>8</v>
      </c>
      <c r="H519" s="10">
        <v>265</v>
      </c>
      <c r="I519" s="11">
        <v>130</v>
      </c>
      <c r="J519" s="5">
        <v>27.79</v>
      </c>
      <c r="K519" s="6">
        <v>347.3</v>
      </c>
      <c r="L519" s="7">
        <v>181.14</v>
      </c>
      <c r="M519" s="9">
        <v>5.95</v>
      </c>
      <c r="N519" s="10">
        <v>276.42</v>
      </c>
      <c r="O519" s="11">
        <v>150.35</v>
      </c>
      <c r="P519" s="5">
        <v>67</v>
      </c>
      <c r="Q519" s="6">
        <v>799</v>
      </c>
      <c r="R519" s="7">
        <v>411</v>
      </c>
      <c r="S519" s="9">
        <v>13</v>
      </c>
      <c r="T519" s="10">
        <v>652</v>
      </c>
      <c r="U519" s="11">
        <v>348</v>
      </c>
    </row>
    <row r="520" spans="1:41">
      <c r="A520"/>
      <c r="B520"/>
      <c r="C520" s="12" t="s">
        <v>17</v>
      </c>
      <c r="D520" s="5">
        <v>5</v>
      </c>
      <c r="E520" s="6">
        <v>81</v>
      </c>
      <c r="F520" s="7">
        <v>31</v>
      </c>
      <c r="G520" s="9">
        <v>3</v>
      </c>
      <c r="H520" s="10">
        <v>48</v>
      </c>
      <c r="I520" s="11">
        <v>23</v>
      </c>
      <c r="J520" s="5">
        <v>4.7</v>
      </c>
      <c r="K520" s="6">
        <v>110.59</v>
      </c>
      <c r="L520" s="7">
        <v>53.34</v>
      </c>
      <c r="M520" s="9">
        <v>4.75</v>
      </c>
      <c r="N520" s="10">
        <v>53.6</v>
      </c>
      <c r="O520" s="11">
        <v>30.44</v>
      </c>
      <c r="P520" s="5">
        <v>12</v>
      </c>
      <c r="Q520" s="6">
        <v>251</v>
      </c>
      <c r="R520" s="7">
        <v>121</v>
      </c>
      <c r="S520" s="9">
        <v>11</v>
      </c>
      <c r="T520" s="10">
        <v>124</v>
      </c>
      <c r="U520" s="11">
        <v>68</v>
      </c>
    </row>
    <row r="521" spans="1:41">
      <c r="A521"/>
      <c r="B521"/>
      <c r="C521" s="12" t="s">
        <v>18</v>
      </c>
      <c r="D521" s="5">
        <v>1</v>
      </c>
      <c r="E521" s="6">
        <v>26</v>
      </c>
      <c r="F521" s="7">
        <v>8</v>
      </c>
      <c r="G521" s="9">
        <v>3</v>
      </c>
      <c r="H521" s="10">
        <v>12</v>
      </c>
      <c r="I521" s="11">
        <v>7</v>
      </c>
      <c r="J521" s="5">
        <v>1.1</v>
      </c>
      <c r="K521" s="6">
        <v>39.01</v>
      </c>
      <c r="L521" s="7">
        <v>14.12</v>
      </c>
      <c r="M521" s="9">
        <v>4.2</v>
      </c>
      <c r="N521" s="10">
        <v>17.5</v>
      </c>
      <c r="O521" s="11">
        <v>12.05</v>
      </c>
      <c r="P521" s="5">
        <v>3</v>
      </c>
      <c r="Q521" s="6">
        <v>86</v>
      </c>
      <c r="R521" s="7">
        <v>31</v>
      </c>
      <c r="S521" s="9">
        <v>9</v>
      </c>
      <c r="T521" s="10">
        <v>38</v>
      </c>
      <c r="U521" s="11">
        <v>25</v>
      </c>
    </row>
    <row r="522" spans="1:41">
      <c r="A522"/>
      <c r="B522"/>
      <c r="C522" s="12" t="s">
        <v>29</v>
      </c>
      <c r="D522" s="5">
        <v>9</v>
      </c>
      <c r="E522" s="6">
        <v>68</v>
      </c>
      <c r="F522" s="7">
        <v>27</v>
      </c>
      <c r="G522" s="9">
        <v>4</v>
      </c>
      <c r="H522" s="10">
        <v>46</v>
      </c>
      <c r="I522" s="11">
        <v>39</v>
      </c>
      <c r="J522" s="5">
        <v>6.8</v>
      </c>
      <c r="K522" s="6">
        <v>80.67</v>
      </c>
      <c r="L522" s="7">
        <v>39.99</v>
      </c>
      <c r="M522" s="9">
        <v>3.95</v>
      </c>
      <c r="N522" s="10">
        <v>45.4</v>
      </c>
      <c r="O522" s="11">
        <v>43.56</v>
      </c>
      <c r="P522" s="5">
        <v>17</v>
      </c>
      <c r="Q522" s="6">
        <v>184</v>
      </c>
      <c r="R522" s="7">
        <v>90</v>
      </c>
      <c r="S522" s="9">
        <v>9</v>
      </c>
      <c r="T522" s="10">
        <v>105</v>
      </c>
      <c r="U522" s="11">
        <v>99</v>
      </c>
    </row>
    <row r="523" spans="1:41">
      <c r="A523"/>
      <c r="B523"/>
      <c r="C523" s="12" t="s">
        <v>20</v>
      </c>
      <c r="D523" s="5">
        <v>83</v>
      </c>
      <c r="E523" s="6">
        <v>1155</v>
      </c>
      <c r="F523" s="7">
        <v>492</v>
      </c>
      <c r="G523" s="9">
        <v>66</v>
      </c>
      <c r="H523" s="10">
        <v>941</v>
      </c>
      <c r="I523" s="11">
        <v>362</v>
      </c>
      <c r="J523" s="5">
        <v>93.18</v>
      </c>
      <c r="K523" s="6">
        <v>1479.33</v>
      </c>
      <c r="L523" s="7">
        <v>668.95</v>
      </c>
      <c r="M523" s="9">
        <v>59.16</v>
      </c>
      <c r="N523" s="10">
        <v>1069.75</v>
      </c>
      <c r="O523" s="11">
        <v>428.3</v>
      </c>
      <c r="P523" s="5">
        <v>214</v>
      </c>
      <c r="Q523" s="6">
        <v>3332</v>
      </c>
      <c r="R523" s="7">
        <v>1512</v>
      </c>
      <c r="S523" s="9">
        <v>141</v>
      </c>
      <c r="T523" s="10">
        <v>2451</v>
      </c>
      <c r="U523" s="11">
        <v>981</v>
      </c>
    </row>
    <row r="524" spans="1:41">
      <c r="A524"/>
      <c r="B524"/>
      <c r="C524" s="12" t="s">
        <v>36</v>
      </c>
      <c r="D524" s="5">
        <v>72</v>
      </c>
      <c r="E524" s="6">
        <v>768</v>
      </c>
      <c r="F524" s="7">
        <v>344</v>
      </c>
      <c r="G524" s="9">
        <v>56</v>
      </c>
      <c r="H524" s="10">
        <v>601</v>
      </c>
      <c r="I524" s="11">
        <v>285</v>
      </c>
      <c r="J524" s="5">
        <v>50.18</v>
      </c>
      <c r="K524" s="6">
        <v>630.88</v>
      </c>
      <c r="L524" s="7">
        <v>338.04</v>
      </c>
      <c r="M524" s="9">
        <v>39.02</v>
      </c>
      <c r="N524" s="10">
        <v>425.94</v>
      </c>
      <c r="O524" s="11">
        <v>248.94</v>
      </c>
      <c r="P524" s="5">
        <v>124</v>
      </c>
      <c r="Q524" s="6">
        <v>1552</v>
      </c>
      <c r="R524" s="7">
        <v>807</v>
      </c>
      <c r="S524" s="9">
        <v>100</v>
      </c>
      <c r="T524" s="10">
        <v>1096</v>
      </c>
      <c r="U524" s="11">
        <v>616</v>
      </c>
    </row>
    <row r="525" spans="1:41">
      <c r="A525"/>
      <c r="B525"/>
      <c r="C525" s="12" t="s">
        <v>35</v>
      </c>
      <c r="D525" s="5">
        <v>1</v>
      </c>
      <c r="E525" s="6">
        <v>26</v>
      </c>
      <c r="F525" s="7">
        <v>18</v>
      </c>
      <c r="G525" s="9">
        <v>1</v>
      </c>
      <c r="H525" s="10">
        <v>32</v>
      </c>
      <c r="I525" s="11">
        <v>19</v>
      </c>
      <c r="J525" s="5">
        <v>1</v>
      </c>
      <c r="K525" s="6">
        <v>22.54</v>
      </c>
      <c r="L525" s="7">
        <v>14.07</v>
      </c>
      <c r="M525" s="9">
        <v>0.6</v>
      </c>
      <c r="N525" s="10">
        <v>25.42</v>
      </c>
      <c r="O525" s="11">
        <v>19.13</v>
      </c>
      <c r="P525" s="5">
        <v>2</v>
      </c>
      <c r="Q525" s="6">
        <v>56</v>
      </c>
      <c r="R525" s="7">
        <v>35</v>
      </c>
      <c r="S525" s="9">
        <v>2</v>
      </c>
      <c r="T525" s="10">
        <v>64</v>
      </c>
      <c r="U525" s="11">
        <v>46</v>
      </c>
    </row>
    <row r="526" spans="1:41">
      <c r="C526" s="13" t="s">
        <v>26</v>
      </c>
      <c r="D526" s="13" t="str">
        <f>SUM(D518:D525)</f>
        <v>0</v>
      </c>
      <c r="E526" s="13" t="str">
        <f>SUM(E518:E525)</f>
        <v>0</v>
      </c>
      <c r="F526" s="13" t="str">
        <f>SUM(F518:F525)</f>
        <v>0</v>
      </c>
      <c r="G526" s="13" t="str">
        <f>SUM(G518:G525)</f>
        <v>0</v>
      </c>
      <c r="H526" s="13" t="str">
        <f>SUM(H518:H525)</f>
        <v>0</v>
      </c>
      <c r="I526" s="13" t="str">
        <f>SUM(I518:I525)</f>
        <v>0</v>
      </c>
      <c r="J526" s="13" t="str">
        <f>SUM(J518:J525)</f>
        <v>0</v>
      </c>
      <c r="K526" s="13" t="str">
        <f>SUM(K518:K525)</f>
        <v>0</v>
      </c>
      <c r="L526" s="13" t="str">
        <f>SUM(L518:L525)</f>
        <v>0</v>
      </c>
      <c r="M526" s="13" t="str">
        <f>SUM(M518:M525)</f>
        <v>0</v>
      </c>
      <c r="N526" s="13" t="str">
        <f>SUM(N518:N525)</f>
        <v>0</v>
      </c>
      <c r="O526" s="13" t="str">
        <f>SUM(O518:O525)</f>
        <v>0</v>
      </c>
      <c r="P526" s="13" t="str">
        <f>SUM(P518:P525)</f>
        <v>0</v>
      </c>
      <c r="Q526" s="13" t="str">
        <f>SUM(Q518:Q525)</f>
        <v>0</v>
      </c>
      <c r="R526" s="13" t="str">
        <f>SUM(R518:R525)</f>
        <v>0</v>
      </c>
      <c r="S526" s="13" t="str">
        <f>SUM(S518:S525)</f>
        <v>0</v>
      </c>
      <c r="T526" s="13" t="str">
        <f>SUM(T518:T525)</f>
        <v>0</v>
      </c>
      <c r="U526" s="13" t="str">
        <f>SUM(U518:U525)</f>
        <v>0</v>
      </c>
    </row>
    <row r="527" spans="1:41">
      <c r="A527"/>
      <c r="B527" s="14" t="s">
        <v>137</v>
      </c>
      <c r="C527" s="12" t="s">
        <v>16</v>
      </c>
      <c r="D527" s="5">
        <v>9</v>
      </c>
      <c r="E527" s="6">
        <v>67</v>
      </c>
      <c r="F527" s="7">
        <v>42</v>
      </c>
      <c r="G527" s="9">
        <v>7</v>
      </c>
      <c r="H527" s="10">
        <v>76</v>
      </c>
      <c r="I527" s="11">
        <v>41</v>
      </c>
      <c r="J527" s="5">
        <v>2.21</v>
      </c>
      <c r="K527" s="6">
        <v>19.87</v>
      </c>
      <c r="L527" s="7">
        <v>13.24</v>
      </c>
      <c r="M527" s="9">
        <v>1.67</v>
      </c>
      <c r="N527" s="10">
        <v>18</v>
      </c>
      <c r="O527" s="11">
        <v>11.76</v>
      </c>
      <c r="P527" s="5">
        <v>9</v>
      </c>
      <c r="Q527" s="6">
        <v>67</v>
      </c>
      <c r="R527" s="7">
        <v>44</v>
      </c>
      <c r="S527" s="9">
        <v>7</v>
      </c>
      <c r="T527" s="10">
        <v>76</v>
      </c>
      <c r="U527" s="11">
        <v>41</v>
      </c>
    </row>
    <row r="528" spans="1:41">
      <c r="A528"/>
      <c r="B528"/>
      <c r="C528" s="12" t="s">
        <v>17</v>
      </c>
      <c r="D528" s="5">
        <v>0</v>
      </c>
      <c r="E528" s="6">
        <v>18</v>
      </c>
      <c r="F528" s="7">
        <v>15</v>
      </c>
      <c r="G528" s="9">
        <v>4</v>
      </c>
      <c r="H528" s="10">
        <v>20</v>
      </c>
      <c r="I528" s="11">
        <v>12</v>
      </c>
      <c r="J528" s="5">
        <v>0</v>
      </c>
      <c r="K528" s="6">
        <v>9.76</v>
      </c>
      <c r="L528" s="7">
        <v>7.87</v>
      </c>
      <c r="M528" s="9">
        <v>2</v>
      </c>
      <c r="N528" s="10">
        <v>8.94</v>
      </c>
      <c r="O528" s="11">
        <v>4.6</v>
      </c>
      <c r="P528" s="5">
        <v>0</v>
      </c>
      <c r="Q528" s="6">
        <v>28</v>
      </c>
      <c r="R528" s="7">
        <v>22</v>
      </c>
      <c r="S528" s="9">
        <v>6</v>
      </c>
      <c r="T528" s="10">
        <v>28</v>
      </c>
      <c r="U528" s="11">
        <v>16</v>
      </c>
    </row>
    <row r="529" spans="1:41">
      <c r="A529"/>
      <c r="B529"/>
      <c r="C529" s="12" t="s">
        <v>29</v>
      </c>
      <c r="D529" s="5">
        <v>11</v>
      </c>
      <c r="E529" s="6">
        <v>100</v>
      </c>
      <c r="F529" s="7">
        <v>103</v>
      </c>
      <c r="G529" s="9">
        <v>11</v>
      </c>
      <c r="H529" s="10">
        <v>108</v>
      </c>
      <c r="I529" s="11">
        <v>64</v>
      </c>
      <c r="J529" s="5">
        <v>3.54</v>
      </c>
      <c r="K529" s="6">
        <v>28.71</v>
      </c>
      <c r="L529" s="7">
        <v>30.63</v>
      </c>
      <c r="M529" s="9">
        <v>2.16</v>
      </c>
      <c r="N529" s="10">
        <v>26.46</v>
      </c>
      <c r="O529" s="11">
        <v>15.77</v>
      </c>
      <c r="P529" s="5">
        <v>12</v>
      </c>
      <c r="Q529" s="6">
        <v>105</v>
      </c>
      <c r="R529" s="7">
        <v>105</v>
      </c>
      <c r="S529" s="9">
        <v>11</v>
      </c>
      <c r="T529" s="10">
        <v>109</v>
      </c>
      <c r="U529" s="11">
        <v>64</v>
      </c>
    </row>
    <row r="530" spans="1:41">
      <c r="A530"/>
      <c r="B530"/>
      <c r="C530" s="12" t="s">
        <v>20</v>
      </c>
      <c r="D530" s="5">
        <v>0</v>
      </c>
      <c r="E530" s="6">
        <v>0</v>
      </c>
      <c r="F530" s="7">
        <v>0</v>
      </c>
      <c r="G530" s="9">
        <v>0</v>
      </c>
      <c r="H530" s="10">
        <v>0</v>
      </c>
      <c r="I530" s="11">
        <v>0</v>
      </c>
      <c r="J530" s="5">
        <v>0</v>
      </c>
      <c r="K530" s="6">
        <v>0</v>
      </c>
      <c r="L530" s="7">
        <v>0</v>
      </c>
      <c r="M530" s="9">
        <v>0</v>
      </c>
      <c r="N530" s="10">
        <v>0</v>
      </c>
      <c r="O530" s="11">
        <v>0</v>
      </c>
      <c r="P530" s="5">
        <v>0</v>
      </c>
      <c r="Q530" s="6">
        <v>0</v>
      </c>
      <c r="R530" s="7">
        <v>0</v>
      </c>
      <c r="S530" s="9">
        <v>0</v>
      </c>
      <c r="T530" s="10">
        <v>0</v>
      </c>
      <c r="U530" s="11">
        <v>0</v>
      </c>
    </row>
    <row r="531" spans="1:41">
      <c r="A531"/>
      <c r="B531"/>
      <c r="C531" s="12" t="s">
        <v>36</v>
      </c>
      <c r="D531" s="5">
        <v>0</v>
      </c>
      <c r="E531" s="6">
        <v>0</v>
      </c>
      <c r="F531" s="7">
        <v>0</v>
      </c>
      <c r="G531" s="9">
        <v>0</v>
      </c>
      <c r="H531" s="10">
        <v>0</v>
      </c>
      <c r="I531" s="11">
        <v>0</v>
      </c>
      <c r="J531" s="5">
        <v>0</v>
      </c>
      <c r="K531" s="6">
        <v>0</v>
      </c>
      <c r="L531" s="7">
        <v>0</v>
      </c>
      <c r="M531" s="9">
        <v>0</v>
      </c>
      <c r="N531" s="10">
        <v>0</v>
      </c>
      <c r="O531" s="11">
        <v>0</v>
      </c>
      <c r="P531" s="5">
        <v>0</v>
      </c>
      <c r="Q531" s="6">
        <v>0</v>
      </c>
      <c r="R531" s="7">
        <v>0</v>
      </c>
      <c r="S531" s="9">
        <v>0</v>
      </c>
      <c r="T531" s="10">
        <v>0</v>
      </c>
      <c r="U531" s="11">
        <v>0</v>
      </c>
    </row>
    <row r="532" spans="1:41">
      <c r="A532"/>
      <c r="B532"/>
      <c r="C532" s="12" t="s">
        <v>35</v>
      </c>
      <c r="D532" s="5">
        <v>33</v>
      </c>
      <c r="E532" s="6">
        <v>214</v>
      </c>
      <c r="F532" s="7">
        <v>108</v>
      </c>
      <c r="G532" s="9">
        <v>22</v>
      </c>
      <c r="H532" s="10">
        <v>208</v>
      </c>
      <c r="I532" s="11">
        <v>117</v>
      </c>
      <c r="J532" s="5">
        <v>7.51</v>
      </c>
      <c r="K532" s="6">
        <v>73.13</v>
      </c>
      <c r="L532" s="7">
        <v>38.69</v>
      </c>
      <c r="M532" s="9">
        <v>5.01</v>
      </c>
      <c r="N532" s="10">
        <v>66.14</v>
      </c>
      <c r="O532" s="11">
        <v>38.96</v>
      </c>
      <c r="P532" s="5">
        <v>34</v>
      </c>
      <c r="Q532" s="6">
        <v>250</v>
      </c>
      <c r="R532" s="7">
        <v>127</v>
      </c>
      <c r="S532" s="9">
        <v>22</v>
      </c>
      <c r="T532" s="10">
        <v>234</v>
      </c>
      <c r="U532" s="11">
        <v>133</v>
      </c>
    </row>
    <row r="533" spans="1:41">
      <c r="C533" s="13" t="s">
        <v>26</v>
      </c>
      <c r="D533" s="13" t="str">
        <f>SUM(D527:D532)</f>
        <v>0</v>
      </c>
      <c r="E533" s="13" t="str">
        <f>SUM(E527:E532)</f>
        <v>0</v>
      </c>
      <c r="F533" s="13" t="str">
        <f>SUM(F527:F532)</f>
        <v>0</v>
      </c>
      <c r="G533" s="13" t="str">
        <f>SUM(G527:G532)</f>
        <v>0</v>
      </c>
      <c r="H533" s="13" t="str">
        <f>SUM(H527:H532)</f>
        <v>0</v>
      </c>
      <c r="I533" s="13" t="str">
        <f>SUM(I527:I532)</f>
        <v>0</v>
      </c>
      <c r="J533" s="13" t="str">
        <f>SUM(J527:J532)</f>
        <v>0</v>
      </c>
      <c r="K533" s="13" t="str">
        <f>SUM(K527:K532)</f>
        <v>0</v>
      </c>
      <c r="L533" s="13" t="str">
        <f>SUM(L527:L532)</f>
        <v>0</v>
      </c>
      <c r="M533" s="13" t="str">
        <f>SUM(M527:M532)</f>
        <v>0</v>
      </c>
      <c r="N533" s="13" t="str">
        <f>SUM(N527:N532)</f>
        <v>0</v>
      </c>
      <c r="O533" s="13" t="str">
        <f>SUM(O527:O532)</f>
        <v>0</v>
      </c>
      <c r="P533" s="13" t="str">
        <f>SUM(P527:P532)</f>
        <v>0</v>
      </c>
      <c r="Q533" s="13" t="str">
        <f>SUM(Q527:Q532)</f>
        <v>0</v>
      </c>
      <c r="R533" s="13" t="str">
        <f>SUM(R527:R532)</f>
        <v>0</v>
      </c>
      <c r="S533" s="13" t="str">
        <f>SUM(S527:S532)</f>
        <v>0</v>
      </c>
      <c r="T533" s="13" t="str">
        <f>SUM(T527:T532)</f>
        <v>0</v>
      </c>
      <c r="U533" s="13" t="str">
        <f>SUM(U527:U532)</f>
        <v>0</v>
      </c>
    </row>
    <row r="534" spans="1:41">
      <c r="A534"/>
      <c r="B534" s="14" t="s">
        <v>138</v>
      </c>
      <c r="C534" s="12" t="s">
        <v>30</v>
      </c>
      <c r="D534" s="5">
        <v>4</v>
      </c>
      <c r="E534" s="6">
        <v>32</v>
      </c>
      <c r="F534" s="7">
        <v>13</v>
      </c>
      <c r="G534" s="9">
        <v>2</v>
      </c>
      <c r="H534" s="10">
        <v>20</v>
      </c>
      <c r="I534" s="11">
        <v>11</v>
      </c>
      <c r="J534" s="5">
        <v>5.25</v>
      </c>
      <c r="K534" s="6">
        <v>43.04</v>
      </c>
      <c r="L534" s="7">
        <v>13.46</v>
      </c>
      <c r="M534" s="9">
        <v>3.5</v>
      </c>
      <c r="N534" s="10">
        <v>22.45</v>
      </c>
      <c r="O534" s="11">
        <v>11.28</v>
      </c>
      <c r="P534" s="5">
        <v>11</v>
      </c>
      <c r="Q534" s="6">
        <v>90</v>
      </c>
      <c r="R534" s="7">
        <v>29</v>
      </c>
      <c r="S534" s="9">
        <v>7</v>
      </c>
      <c r="T534" s="10">
        <v>48</v>
      </c>
      <c r="U534" s="11">
        <v>25</v>
      </c>
    </row>
    <row r="535" spans="1:41">
      <c r="A535"/>
      <c r="B535"/>
      <c r="C535" s="12" t="s">
        <v>17</v>
      </c>
      <c r="D535" s="5">
        <v>8</v>
      </c>
      <c r="E535" s="6">
        <v>82</v>
      </c>
      <c r="F535" s="7">
        <v>41</v>
      </c>
      <c r="G535" s="9">
        <v>3</v>
      </c>
      <c r="H535" s="10">
        <v>64</v>
      </c>
      <c r="I535" s="11">
        <v>22</v>
      </c>
      <c r="J535" s="5">
        <v>5.33</v>
      </c>
      <c r="K535" s="6">
        <v>60.65</v>
      </c>
      <c r="L535" s="7">
        <v>33.49</v>
      </c>
      <c r="M535" s="9">
        <v>1.75</v>
      </c>
      <c r="N535" s="10">
        <v>47.42</v>
      </c>
      <c r="O535" s="11">
        <v>17.95</v>
      </c>
      <c r="P535" s="5">
        <v>14</v>
      </c>
      <c r="Q535" s="6">
        <v>142</v>
      </c>
      <c r="R535" s="7">
        <v>74</v>
      </c>
      <c r="S535" s="9">
        <v>4</v>
      </c>
      <c r="T535" s="10">
        <v>110</v>
      </c>
      <c r="U535" s="11">
        <v>40</v>
      </c>
    </row>
    <row r="536" spans="1:41">
      <c r="A536"/>
      <c r="B536"/>
      <c r="C536" s="12" t="s">
        <v>18</v>
      </c>
      <c r="D536" s="5">
        <v>0</v>
      </c>
      <c r="E536" s="6">
        <v>10</v>
      </c>
      <c r="F536" s="7">
        <v>7</v>
      </c>
      <c r="G536" s="9">
        <v>1</v>
      </c>
      <c r="H536" s="10">
        <v>4</v>
      </c>
      <c r="I536" s="11">
        <v>1</v>
      </c>
      <c r="J536" s="5">
        <v>0</v>
      </c>
      <c r="K536" s="6">
        <v>12.27</v>
      </c>
      <c r="L536" s="7">
        <v>9</v>
      </c>
      <c r="M536" s="9">
        <v>1.25</v>
      </c>
      <c r="N536" s="10">
        <v>6.28</v>
      </c>
      <c r="O536" s="11">
        <v>0.5</v>
      </c>
      <c r="P536" s="5">
        <v>0</v>
      </c>
      <c r="Q536" s="6">
        <v>26</v>
      </c>
      <c r="R536" s="7">
        <v>20</v>
      </c>
      <c r="S536" s="9">
        <v>3</v>
      </c>
      <c r="T536" s="10">
        <v>13</v>
      </c>
      <c r="U536" s="11">
        <v>1</v>
      </c>
    </row>
    <row r="537" spans="1:41">
      <c r="A537"/>
      <c r="B537"/>
      <c r="C537" s="12" t="s">
        <v>29</v>
      </c>
      <c r="D537" s="5">
        <v>7</v>
      </c>
      <c r="E537" s="6">
        <v>100</v>
      </c>
      <c r="F537" s="7">
        <v>33</v>
      </c>
      <c r="G537" s="9">
        <v>2</v>
      </c>
      <c r="H537" s="10">
        <v>62</v>
      </c>
      <c r="I537" s="11">
        <v>12</v>
      </c>
      <c r="J537" s="5">
        <v>7.25</v>
      </c>
      <c r="K537" s="6">
        <v>65.67</v>
      </c>
      <c r="L537" s="7">
        <v>31.09</v>
      </c>
      <c r="M537" s="9">
        <v>2.3</v>
      </c>
      <c r="N537" s="10">
        <v>48.28</v>
      </c>
      <c r="O537" s="11">
        <v>8.47</v>
      </c>
      <c r="P537" s="5">
        <v>16</v>
      </c>
      <c r="Q537" s="6">
        <v>160</v>
      </c>
      <c r="R537" s="7">
        <v>73</v>
      </c>
      <c r="S537" s="9">
        <v>5</v>
      </c>
      <c r="T537" s="10">
        <v>111</v>
      </c>
      <c r="U537" s="11">
        <v>21</v>
      </c>
    </row>
    <row r="538" spans="1:41">
      <c r="A538"/>
      <c r="B538"/>
      <c r="C538" s="12" t="s">
        <v>20</v>
      </c>
      <c r="D538" s="5">
        <v>5</v>
      </c>
      <c r="E538" s="6">
        <v>58</v>
      </c>
      <c r="F538" s="7">
        <v>22</v>
      </c>
      <c r="G538" s="9">
        <v>2</v>
      </c>
      <c r="H538" s="10">
        <v>37</v>
      </c>
      <c r="I538" s="11">
        <v>9</v>
      </c>
      <c r="J538" s="5">
        <v>3.51</v>
      </c>
      <c r="K538" s="6">
        <v>51.34</v>
      </c>
      <c r="L538" s="7">
        <v>25.76</v>
      </c>
      <c r="M538" s="9">
        <v>1.3</v>
      </c>
      <c r="N538" s="10">
        <v>32.18</v>
      </c>
      <c r="O538" s="11">
        <v>10.3</v>
      </c>
      <c r="P538" s="5">
        <v>8</v>
      </c>
      <c r="Q538" s="6">
        <v>120</v>
      </c>
      <c r="R538" s="7">
        <v>59</v>
      </c>
      <c r="S538" s="9">
        <v>3</v>
      </c>
      <c r="T538" s="10">
        <v>75</v>
      </c>
      <c r="U538" s="11">
        <v>24</v>
      </c>
    </row>
    <row r="539" spans="1:41">
      <c r="A539"/>
      <c r="B539"/>
      <c r="C539" s="12" t="s">
        <v>36</v>
      </c>
      <c r="D539" s="5">
        <v>0</v>
      </c>
      <c r="E539" s="6">
        <v>3</v>
      </c>
      <c r="F539" s="7">
        <v>1</v>
      </c>
      <c r="G539" s="9">
        <v>0</v>
      </c>
      <c r="H539" s="10">
        <v>1</v>
      </c>
      <c r="I539" s="11">
        <v>1</v>
      </c>
      <c r="J539" s="5">
        <v>0</v>
      </c>
      <c r="K539" s="6">
        <v>2.55</v>
      </c>
      <c r="L539" s="7">
        <v>4.32</v>
      </c>
      <c r="M539" s="9">
        <v>0</v>
      </c>
      <c r="N539" s="10">
        <v>1</v>
      </c>
      <c r="O539" s="11">
        <v>2</v>
      </c>
      <c r="P539" s="5">
        <v>0</v>
      </c>
      <c r="Q539" s="6">
        <v>6</v>
      </c>
      <c r="R539" s="7">
        <v>9</v>
      </c>
      <c r="S539" s="9">
        <v>0</v>
      </c>
      <c r="T539" s="10">
        <v>2</v>
      </c>
      <c r="U539" s="11">
        <v>4</v>
      </c>
    </row>
    <row r="540" spans="1:41">
      <c r="A540"/>
      <c r="B540"/>
      <c r="C540" s="12" t="s">
        <v>23</v>
      </c>
      <c r="D540" s="5">
        <v>0</v>
      </c>
      <c r="E540" s="6">
        <v>12</v>
      </c>
      <c r="F540" s="7">
        <v>1</v>
      </c>
      <c r="G540" s="9">
        <v>0</v>
      </c>
      <c r="H540" s="10">
        <v>7</v>
      </c>
      <c r="I540" s="11">
        <v>0</v>
      </c>
      <c r="J540" s="5">
        <v>0</v>
      </c>
      <c r="K540" s="6">
        <v>11.96</v>
      </c>
      <c r="L540" s="7">
        <v>3</v>
      </c>
      <c r="M540" s="9">
        <v>0</v>
      </c>
      <c r="N540" s="10">
        <v>8</v>
      </c>
      <c r="O540" s="11">
        <v>0</v>
      </c>
      <c r="P540" s="5">
        <v>0</v>
      </c>
      <c r="Q540" s="6">
        <v>25</v>
      </c>
      <c r="R540" s="7">
        <v>6</v>
      </c>
      <c r="S540" s="9">
        <v>0</v>
      </c>
      <c r="T540" s="10">
        <v>18</v>
      </c>
      <c r="U540" s="11">
        <v>0</v>
      </c>
    </row>
    <row r="541" spans="1:41">
      <c r="A541"/>
      <c r="B541"/>
      <c r="C541" s="12" t="s">
        <v>35</v>
      </c>
      <c r="D541" s="5">
        <v>2</v>
      </c>
      <c r="E541" s="6">
        <v>28</v>
      </c>
      <c r="F541" s="7">
        <v>9</v>
      </c>
      <c r="G541" s="9">
        <v>0</v>
      </c>
      <c r="H541" s="10">
        <v>12</v>
      </c>
      <c r="I541" s="11">
        <v>5</v>
      </c>
      <c r="J541" s="5">
        <v>1.5</v>
      </c>
      <c r="K541" s="6">
        <v>33.89</v>
      </c>
      <c r="L541" s="7">
        <v>12.88</v>
      </c>
      <c r="M541" s="9">
        <v>0</v>
      </c>
      <c r="N541" s="10">
        <v>11.9</v>
      </c>
      <c r="O541" s="11">
        <v>4.35</v>
      </c>
      <c r="P541" s="5">
        <v>3</v>
      </c>
      <c r="Q541" s="6">
        <v>72</v>
      </c>
      <c r="R541" s="7">
        <v>29</v>
      </c>
      <c r="S541" s="9">
        <v>0</v>
      </c>
      <c r="T541" s="10">
        <v>25</v>
      </c>
      <c r="U541" s="11">
        <v>10</v>
      </c>
    </row>
    <row r="542" spans="1:41">
      <c r="C542" s="13" t="s">
        <v>26</v>
      </c>
      <c r="D542" s="13" t="str">
        <f>SUM(D534:D541)</f>
        <v>0</v>
      </c>
      <c r="E542" s="13" t="str">
        <f>SUM(E534:E541)</f>
        <v>0</v>
      </c>
      <c r="F542" s="13" t="str">
        <f>SUM(F534:F541)</f>
        <v>0</v>
      </c>
      <c r="G542" s="13" t="str">
        <f>SUM(G534:G541)</f>
        <v>0</v>
      </c>
      <c r="H542" s="13" t="str">
        <f>SUM(H534:H541)</f>
        <v>0</v>
      </c>
      <c r="I542" s="13" t="str">
        <f>SUM(I534:I541)</f>
        <v>0</v>
      </c>
      <c r="J542" s="13" t="str">
        <f>SUM(J534:J541)</f>
        <v>0</v>
      </c>
      <c r="K542" s="13" t="str">
        <f>SUM(K534:K541)</f>
        <v>0</v>
      </c>
      <c r="L542" s="13" t="str">
        <f>SUM(L534:L541)</f>
        <v>0</v>
      </c>
      <c r="M542" s="13" t="str">
        <f>SUM(M534:M541)</f>
        <v>0</v>
      </c>
      <c r="N542" s="13" t="str">
        <f>SUM(N534:N541)</f>
        <v>0</v>
      </c>
      <c r="O542" s="13" t="str">
        <f>SUM(O534:O541)</f>
        <v>0</v>
      </c>
      <c r="P542" s="13" t="str">
        <f>SUM(P534:P541)</f>
        <v>0</v>
      </c>
      <c r="Q542" s="13" t="str">
        <f>SUM(Q534:Q541)</f>
        <v>0</v>
      </c>
      <c r="R542" s="13" t="str">
        <f>SUM(R534:R541)</f>
        <v>0</v>
      </c>
      <c r="S542" s="13" t="str">
        <f>SUM(S534:S541)</f>
        <v>0</v>
      </c>
      <c r="T542" s="13" t="str">
        <f>SUM(T534:T541)</f>
        <v>0</v>
      </c>
      <c r="U542" s="13" t="str">
        <f>SUM(U534:U541)</f>
        <v>0</v>
      </c>
    </row>
    <row r="543" spans="1:41">
      <c r="A543" s="9" t="s">
        <v>139</v>
      </c>
      <c r="B543" s="11" t="s">
        <v>140</v>
      </c>
      <c r="C543" s="12" t="s">
        <v>43</v>
      </c>
      <c r="D543" s="5">
        <v>9</v>
      </c>
      <c r="E543" s="6">
        <v>77</v>
      </c>
      <c r="F543" s="7">
        <v>21</v>
      </c>
      <c r="G543" s="9">
        <v>0</v>
      </c>
      <c r="H543" s="10">
        <v>15</v>
      </c>
      <c r="I543" s="11">
        <v>7</v>
      </c>
      <c r="J543" s="5">
        <v>6.58</v>
      </c>
      <c r="K543" s="6">
        <v>54.62</v>
      </c>
      <c r="L543" s="7">
        <v>21.67</v>
      </c>
      <c r="M543" s="9">
        <v>0</v>
      </c>
      <c r="N543" s="10">
        <v>15.58</v>
      </c>
      <c r="O543" s="11">
        <v>6.17</v>
      </c>
      <c r="P543" s="5">
        <v>18</v>
      </c>
      <c r="Q543" s="6">
        <v>138</v>
      </c>
      <c r="R543" s="7">
        <v>50</v>
      </c>
      <c r="S543" s="9">
        <v>0</v>
      </c>
      <c r="T543" s="10">
        <v>34</v>
      </c>
      <c r="U543" s="11">
        <v>14</v>
      </c>
    </row>
    <row r="544" spans="1:41">
      <c r="A544"/>
      <c r="B544"/>
      <c r="C544" s="12" t="s">
        <v>16</v>
      </c>
      <c r="D544" s="5">
        <v>0</v>
      </c>
      <c r="E544" s="6">
        <v>0</v>
      </c>
      <c r="F544" s="7">
        <v>0</v>
      </c>
      <c r="G544" s="9">
        <v>0</v>
      </c>
      <c r="H544" s="10">
        <v>0</v>
      </c>
      <c r="I544" s="11">
        <v>0</v>
      </c>
      <c r="J544" s="5">
        <v>0</v>
      </c>
      <c r="K544" s="6">
        <v>0</v>
      </c>
      <c r="L544" s="7">
        <v>0</v>
      </c>
      <c r="M544" s="9">
        <v>0</v>
      </c>
      <c r="N544" s="10">
        <v>0</v>
      </c>
      <c r="O544" s="11">
        <v>0</v>
      </c>
      <c r="P544" s="5">
        <v>0</v>
      </c>
      <c r="Q544" s="6">
        <v>0</v>
      </c>
      <c r="R544" s="7">
        <v>0</v>
      </c>
      <c r="S544" s="9">
        <v>0</v>
      </c>
      <c r="T544" s="10">
        <v>0</v>
      </c>
      <c r="U544" s="11">
        <v>0</v>
      </c>
    </row>
    <row r="545" spans="1:41">
      <c r="A545"/>
      <c r="B545"/>
      <c r="C545" s="12" t="s">
        <v>17</v>
      </c>
      <c r="D545" s="5">
        <v>3</v>
      </c>
      <c r="E545" s="6">
        <v>50</v>
      </c>
      <c r="F545" s="7">
        <v>24</v>
      </c>
      <c r="G545" s="9">
        <v>0</v>
      </c>
      <c r="H545" s="10">
        <v>23</v>
      </c>
      <c r="I545" s="11">
        <v>15</v>
      </c>
      <c r="J545" s="5">
        <v>2.94</v>
      </c>
      <c r="K545" s="6">
        <v>51.89</v>
      </c>
      <c r="L545" s="7">
        <v>19.65</v>
      </c>
      <c r="M545" s="9">
        <v>0</v>
      </c>
      <c r="N545" s="10">
        <v>22.48</v>
      </c>
      <c r="O545" s="11">
        <v>15.74</v>
      </c>
      <c r="P545" s="5">
        <v>7</v>
      </c>
      <c r="Q545" s="6">
        <v>121</v>
      </c>
      <c r="R545" s="7">
        <v>46</v>
      </c>
      <c r="S545" s="9">
        <v>0</v>
      </c>
      <c r="T545" s="10">
        <v>54</v>
      </c>
      <c r="U545" s="11">
        <v>36</v>
      </c>
    </row>
    <row r="546" spans="1:41">
      <c r="C546" s="13" t="s">
        <v>26</v>
      </c>
      <c r="D546" s="13" t="str">
        <f>SUM(D543:D545)</f>
        <v>0</v>
      </c>
      <c r="E546" s="13" t="str">
        <f>SUM(E543:E545)</f>
        <v>0</v>
      </c>
      <c r="F546" s="13" t="str">
        <f>SUM(F543:F545)</f>
        <v>0</v>
      </c>
      <c r="G546" s="13" t="str">
        <f>SUM(G543:G545)</f>
        <v>0</v>
      </c>
      <c r="H546" s="13" t="str">
        <f>SUM(H543:H545)</f>
        <v>0</v>
      </c>
      <c r="I546" s="13" t="str">
        <f>SUM(I543:I545)</f>
        <v>0</v>
      </c>
      <c r="J546" s="13" t="str">
        <f>SUM(J543:J545)</f>
        <v>0</v>
      </c>
      <c r="K546" s="13" t="str">
        <f>SUM(K543:K545)</f>
        <v>0</v>
      </c>
      <c r="L546" s="13" t="str">
        <f>SUM(L543:L545)</f>
        <v>0</v>
      </c>
      <c r="M546" s="13" t="str">
        <f>SUM(M543:M545)</f>
        <v>0</v>
      </c>
      <c r="N546" s="13" t="str">
        <f>SUM(N543:N545)</f>
        <v>0</v>
      </c>
      <c r="O546" s="13" t="str">
        <f>SUM(O543:O545)</f>
        <v>0</v>
      </c>
      <c r="P546" s="13" t="str">
        <f>SUM(P543:P545)</f>
        <v>0</v>
      </c>
      <c r="Q546" s="13" t="str">
        <f>SUM(Q543:Q545)</f>
        <v>0</v>
      </c>
      <c r="R546" s="13" t="str">
        <f>SUM(R543:R545)</f>
        <v>0</v>
      </c>
      <c r="S546" s="13" t="str">
        <f>SUM(S543:S545)</f>
        <v>0</v>
      </c>
      <c r="T546" s="13" t="str">
        <f>SUM(T543:T545)</f>
        <v>0</v>
      </c>
      <c r="U546" s="13" t="str">
        <f>SUM(U543:U545)</f>
        <v>0</v>
      </c>
    </row>
    <row r="547" spans="1:41">
      <c r="A547"/>
      <c r="B547" s="14" t="s">
        <v>141</v>
      </c>
      <c r="C547" s="12" t="s">
        <v>43</v>
      </c>
      <c r="D547" s="5">
        <v>731</v>
      </c>
      <c r="E547" s="6">
        <v>2918</v>
      </c>
      <c r="F547" s="7">
        <v>514</v>
      </c>
      <c r="G547" s="9">
        <v>69</v>
      </c>
      <c r="H547" s="10">
        <v>578</v>
      </c>
      <c r="I547" s="11">
        <v>136</v>
      </c>
      <c r="J547" s="5">
        <v>714.46</v>
      </c>
      <c r="K547" s="6">
        <v>3558.05</v>
      </c>
      <c r="L547" s="7">
        <v>719.02</v>
      </c>
      <c r="M547" s="9">
        <v>57.88</v>
      </c>
      <c r="N547" s="10">
        <v>588.32</v>
      </c>
      <c r="O547" s="11">
        <v>163.22</v>
      </c>
      <c r="P547" s="5">
        <v>1713</v>
      </c>
      <c r="Q547" s="6">
        <v>8229</v>
      </c>
      <c r="R547" s="7">
        <v>1638</v>
      </c>
      <c r="S547" s="9">
        <v>142</v>
      </c>
      <c r="T547" s="10">
        <v>1399</v>
      </c>
      <c r="U547" s="11">
        <v>371</v>
      </c>
    </row>
    <row r="548" spans="1:41">
      <c r="A548"/>
      <c r="B548"/>
      <c r="C548" s="12" t="s">
        <v>17</v>
      </c>
      <c r="D548" s="5">
        <v>33</v>
      </c>
      <c r="E548" s="6">
        <v>223</v>
      </c>
      <c r="F548" s="7">
        <v>39</v>
      </c>
      <c r="G548" s="9">
        <v>5</v>
      </c>
      <c r="H548" s="10">
        <v>33</v>
      </c>
      <c r="I548" s="11">
        <v>5</v>
      </c>
      <c r="J548" s="5">
        <v>31.44</v>
      </c>
      <c r="K548" s="6">
        <v>289.05</v>
      </c>
      <c r="L548" s="7">
        <v>58.9</v>
      </c>
      <c r="M548" s="9">
        <v>5.76</v>
      </c>
      <c r="N548" s="10">
        <v>36.67</v>
      </c>
      <c r="O548" s="11">
        <v>6.87</v>
      </c>
      <c r="P548" s="5">
        <v>74</v>
      </c>
      <c r="Q548" s="6">
        <v>659</v>
      </c>
      <c r="R548" s="7">
        <v>131</v>
      </c>
      <c r="S548" s="9">
        <v>14</v>
      </c>
      <c r="T548" s="10">
        <v>86</v>
      </c>
      <c r="U548" s="11">
        <v>17</v>
      </c>
    </row>
    <row r="549" spans="1:41">
      <c r="A549"/>
      <c r="B549"/>
      <c r="C549" s="12" t="s">
        <v>18</v>
      </c>
      <c r="D549" s="5">
        <v>14</v>
      </c>
      <c r="E549" s="6">
        <v>88</v>
      </c>
      <c r="F549" s="7">
        <v>19</v>
      </c>
      <c r="G549" s="9">
        <v>0</v>
      </c>
      <c r="H549" s="10">
        <v>7</v>
      </c>
      <c r="I549" s="11">
        <v>4</v>
      </c>
      <c r="J549" s="5">
        <v>13.87</v>
      </c>
      <c r="K549" s="6">
        <v>98.65</v>
      </c>
      <c r="L549" s="7">
        <v>22.78</v>
      </c>
      <c r="M549" s="9">
        <v>0</v>
      </c>
      <c r="N549" s="10">
        <v>7.63</v>
      </c>
      <c r="O549" s="11">
        <v>3.58</v>
      </c>
      <c r="P549" s="5">
        <v>38</v>
      </c>
      <c r="Q549" s="6">
        <v>239</v>
      </c>
      <c r="R549" s="7">
        <v>54</v>
      </c>
      <c r="S549" s="9">
        <v>0</v>
      </c>
      <c r="T549" s="10">
        <v>19</v>
      </c>
      <c r="U549" s="11">
        <v>10</v>
      </c>
    </row>
    <row r="550" spans="1:41">
      <c r="A550"/>
      <c r="B550"/>
      <c r="C550" s="12" t="s">
        <v>20</v>
      </c>
      <c r="D550" s="5">
        <v>1169</v>
      </c>
      <c r="E550" s="6">
        <v>5668</v>
      </c>
      <c r="F550" s="7">
        <v>1023</v>
      </c>
      <c r="G550" s="9">
        <v>128</v>
      </c>
      <c r="H550" s="10">
        <v>997</v>
      </c>
      <c r="I550" s="11">
        <v>243</v>
      </c>
      <c r="J550" s="5">
        <v>1184.58</v>
      </c>
      <c r="K550" s="6">
        <v>7095.17</v>
      </c>
      <c r="L550" s="7">
        <v>1330.35</v>
      </c>
      <c r="M550" s="9">
        <v>117.67</v>
      </c>
      <c r="N550" s="10">
        <v>1029.19</v>
      </c>
      <c r="O550" s="11">
        <v>270.13</v>
      </c>
      <c r="P550" s="5">
        <v>2843</v>
      </c>
      <c r="Q550" s="6">
        <v>16320</v>
      </c>
      <c r="R550" s="7">
        <v>3060</v>
      </c>
      <c r="S550" s="9">
        <v>288</v>
      </c>
      <c r="T550" s="10">
        <v>2447</v>
      </c>
      <c r="U550" s="11">
        <v>642</v>
      </c>
    </row>
    <row r="551" spans="1:41">
      <c r="A551"/>
      <c r="B551"/>
      <c r="C551" s="12" t="s">
        <v>44</v>
      </c>
      <c r="D551" s="5">
        <v>12</v>
      </c>
      <c r="E551" s="6">
        <v>97</v>
      </c>
      <c r="F551" s="7">
        <v>35</v>
      </c>
      <c r="G551" s="9">
        <v>3</v>
      </c>
      <c r="H551" s="10">
        <v>25</v>
      </c>
      <c r="I551" s="11">
        <v>17</v>
      </c>
      <c r="J551" s="5">
        <v>16.54</v>
      </c>
      <c r="K551" s="6">
        <v>127.88</v>
      </c>
      <c r="L551" s="7">
        <v>43.44</v>
      </c>
      <c r="M551" s="9">
        <v>6.69</v>
      </c>
      <c r="N551" s="10">
        <v>30.67</v>
      </c>
      <c r="O551" s="11">
        <v>28.91</v>
      </c>
      <c r="P551" s="5">
        <v>39</v>
      </c>
      <c r="Q551" s="6">
        <v>301</v>
      </c>
      <c r="R551" s="7">
        <v>104</v>
      </c>
      <c r="S551" s="9">
        <v>15</v>
      </c>
      <c r="T551" s="10">
        <v>73</v>
      </c>
      <c r="U551" s="11">
        <v>68</v>
      </c>
    </row>
    <row r="552" spans="1:41">
      <c r="A552"/>
      <c r="B552"/>
      <c r="C552" s="12" t="s">
        <v>37</v>
      </c>
      <c r="D552" s="5">
        <v>35</v>
      </c>
      <c r="E552" s="6">
        <v>162</v>
      </c>
      <c r="F552" s="7">
        <v>33</v>
      </c>
      <c r="G552" s="9">
        <v>5</v>
      </c>
      <c r="H552" s="10">
        <v>30</v>
      </c>
      <c r="I552" s="11">
        <v>8</v>
      </c>
      <c r="J552" s="5">
        <v>43.12</v>
      </c>
      <c r="K552" s="6">
        <v>197.4</v>
      </c>
      <c r="L552" s="7">
        <v>46.45</v>
      </c>
      <c r="M552" s="9">
        <v>7.25</v>
      </c>
      <c r="N552" s="10">
        <v>32.42</v>
      </c>
      <c r="O552" s="11">
        <v>6.78</v>
      </c>
      <c r="P552" s="5">
        <v>101</v>
      </c>
      <c r="Q552" s="6">
        <v>461</v>
      </c>
      <c r="R552" s="7">
        <v>104</v>
      </c>
      <c r="S552" s="9">
        <v>17</v>
      </c>
      <c r="T552" s="10">
        <v>81</v>
      </c>
      <c r="U552" s="11">
        <v>18</v>
      </c>
    </row>
    <row r="553" spans="1:41">
      <c r="A553"/>
      <c r="B553"/>
      <c r="C553" s="12" t="s">
        <v>22</v>
      </c>
      <c r="D553" s="5">
        <v>0</v>
      </c>
      <c r="E553" s="6">
        <v>0</v>
      </c>
      <c r="F553" s="7">
        <v>0</v>
      </c>
      <c r="G553" s="9">
        <v>0</v>
      </c>
      <c r="H553" s="10">
        <v>0</v>
      </c>
      <c r="I553" s="11">
        <v>0</v>
      </c>
      <c r="J553" s="5">
        <v>0</v>
      </c>
      <c r="K553" s="6">
        <v>0</v>
      </c>
      <c r="L553" s="7">
        <v>0</v>
      </c>
      <c r="M553" s="9">
        <v>0</v>
      </c>
      <c r="N553" s="10">
        <v>0</v>
      </c>
      <c r="O553" s="11">
        <v>0</v>
      </c>
      <c r="P553" s="5">
        <v>0</v>
      </c>
      <c r="Q553" s="6">
        <v>0</v>
      </c>
      <c r="R553" s="7">
        <v>0</v>
      </c>
      <c r="S553" s="9">
        <v>0</v>
      </c>
      <c r="T553" s="10">
        <v>0</v>
      </c>
      <c r="U553" s="11">
        <v>0</v>
      </c>
    </row>
    <row r="554" spans="1:41">
      <c r="C554" s="13" t="s">
        <v>26</v>
      </c>
      <c r="D554" s="13" t="str">
        <f>SUM(D547:D553)</f>
        <v>0</v>
      </c>
      <c r="E554" s="13" t="str">
        <f>SUM(E547:E553)</f>
        <v>0</v>
      </c>
      <c r="F554" s="13" t="str">
        <f>SUM(F547:F553)</f>
        <v>0</v>
      </c>
      <c r="G554" s="13" t="str">
        <f>SUM(G547:G553)</f>
        <v>0</v>
      </c>
      <c r="H554" s="13" t="str">
        <f>SUM(H547:H553)</f>
        <v>0</v>
      </c>
      <c r="I554" s="13" t="str">
        <f>SUM(I547:I553)</f>
        <v>0</v>
      </c>
      <c r="J554" s="13" t="str">
        <f>SUM(J547:J553)</f>
        <v>0</v>
      </c>
      <c r="K554" s="13" t="str">
        <f>SUM(K547:K553)</f>
        <v>0</v>
      </c>
      <c r="L554" s="13" t="str">
        <f>SUM(L547:L553)</f>
        <v>0</v>
      </c>
      <c r="M554" s="13" t="str">
        <f>SUM(M547:M553)</f>
        <v>0</v>
      </c>
      <c r="N554" s="13" t="str">
        <f>SUM(N547:N553)</f>
        <v>0</v>
      </c>
      <c r="O554" s="13" t="str">
        <f>SUM(O547:O553)</f>
        <v>0</v>
      </c>
      <c r="P554" s="13" t="str">
        <f>SUM(P547:P553)</f>
        <v>0</v>
      </c>
      <c r="Q554" s="13" t="str">
        <f>SUM(Q547:Q553)</f>
        <v>0</v>
      </c>
      <c r="R554" s="13" t="str">
        <f>SUM(R547:R553)</f>
        <v>0</v>
      </c>
      <c r="S554" s="13" t="str">
        <f>SUM(S547:S553)</f>
        <v>0</v>
      </c>
      <c r="T554" s="13" t="str">
        <f>SUM(T547:T553)</f>
        <v>0</v>
      </c>
      <c r="U554" s="13" t="str">
        <f>SUM(U547:U553)</f>
        <v>0</v>
      </c>
    </row>
    <row r="555" spans="1:41">
      <c r="A555"/>
      <c r="B555" s="14" t="s">
        <v>142</v>
      </c>
      <c r="C555" s="12" t="s">
        <v>43</v>
      </c>
      <c r="D555" s="5">
        <v>731</v>
      </c>
      <c r="E555" s="6">
        <v>2918</v>
      </c>
      <c r="F555" s="7">
        <v>514</v>
      </c>
      <c r="G555" s="9">
        <v>69</v>
      </c>
      <c r="H555" s="10">
        <v>578</v>
      </c>
      <c r="I555" s="11">
        <v>136</v>
      </c>
      <c r="J555" s="5">
        <v>714.46</v>
      </c>
      <c r="K555" s="6">
        <v>3558.05</v>
      </c>
      <c r="L555" s="7">
        <v>719.02</v>
      </c>
      <c r="M555" s="9">
        <v>57.88</v>
      </c>
      <c r="N555" s="10">
        <v>588.32</v>
      </c>
      <c r="O555" s="11">
        <v>163.22</v>
      </c>
      <c r="P555" s="5">
        <v>1713</v>
      </c>
      <c r="Q555" s="6">
        <v>8229</v>
      </c>
      <c r="R555" s="7">
        <v>1638</v>
      </c>
      <c r="S555" s="9">
        <v>142</v>
      </c>
      <c r="T555" s="10">
        <v>1399</v>
      </c>
      <c r="U555" s="11">
        <v>371</v>
      </c>
    </row>
    <row r="556" spans="1:41">
      <c r="A556"/>
      <c r="B556"/>
      <c r="C556" s="12" t="s">
        <v>17</v>
      </c>
      <c r="D556" s="5">
        <v>33</v>
      </c>
      <c r="E556" s="6">
        <v>223</v>
      </c>
      <c r="F556" s="7">
        <v>39</v>
      </c>
      <c r="G556" s="9">
        <v>5</v>
      </c>
      <c r="H556" s="10">
        <v>33</v>
      </c>
      <c r="I556" s="11">
        <v>5</v>
      </c>
      <c r="J556" s="5">
        <v>31.44</v>
      </c>
      <c r="K556" s="6">
        <v>289.05</v>
      </c>
      <c r="L556" s="7">
        <v>58.9</v>
      </c>
      <c r="M556" s="9">
        <v>5.76</v>
      </c>
      <c r="N556" s="10">
        <v>36.67</v>
      </c>
      <c r="O556" s="11">
        <v>6.87</v>
      </c>
      <c r="P556" s="5">
        <v>74</v>
      </c>
      <c r="Q556" s="6">
        <v>659</v>
      </c>
      <c r="R556" s="7">
        <v>131</v>
      </c>
      <c r="S556" s="9">
        <v>14</v>
      </c>
      <c r="T556" s="10">
        <v>86</v>
      </c>
      <c r="U556" s="11">
        <v>17</v>
      </c>
    </row>
    <row r="557" spans="1:41">
      <c r="A557"/>
      <c r="B557"/>
      <c r="C557" s="12" t="s">
        <v>20</v>
      </c>
      <c r="D557" s="5">
        <v>1169</v>
      </c>
      <c r="E557" s="6">
        <v>5668</v>
      </c>
      <c r="F557" s="7">
        <v>1023</v>
      </c>
      <c r="G557" s="9">
        <v>128</v>
      </c>
      <c r="H557" s="10">
        <v>997</v>
      </c>
      <c r="I557" s="11">
        <v>243</v>
      </c>
      <c r="J557" s="5">
        <v>1184.58</v>
      </c>
      <c r="K557" s="6">
        <v>7095.17</v>
      </c>
      <c r="L557" s="7">
        <v>1330.35</v>
      </c>
      <c r="M557" s="9">
        <v>117.67</v>
      </c>
      <c r="N557" s="10">
        <v>1029.19</v>
      </c>
      <c r="O557" s="11">
        <v>270.13</v>
      </c>
      <c r="P557" s="5">
        <v>2843</v>
      </c>
      <c r="Q557" s="6">
        <v>16320</v>
      </c>
      <c r="R557" s="7">
        <v>3060</v>
      </c>
      <c r="S557" s="9">
        <v>288</v>
      </c>
      <c r="T557" s="10">
        <v>2447</v>
      </c>
      <c r="U557" s="11">
        <v>642</v>
      </c>
    </row>
    <row r="558" spans="1:41">
      <c r="A558"/>
      <c r="B558"/>
      <c r="C558" s="12" t="s">
        <v>36</v>
      </c>
      <c r="D558" s="5">
        <v>0</v>
      </c>
      <c r="E558" s="6">
        <v>0</v>
      </c>
      <c r="F558" s="7">
        <v>0</v>
      </c>
      <c r="G558" s="9">
        <v>0</v>
      </c>
      <c r="H558" s="10">
        <v>0</v>
      </c>
      <c r="I558" s="11">
        <v>0</v>
      </c>
      <c r="J558" s="5">
        <v>0</v>
      </c>
      <c r="K558" s="6">
        <v>0</v>
      </c>
      <c r="L558" s="7">
        <v>0</v>
      </c>
      <c r="M558" s="9">
        <v>0</v>
      </c>
      <c r="N558" s="10">
        <v>0</v>
      </c>
      <c r="O558" s="11">
        <v>0</v>
      </c>
      <c r="P558" s="5">
        <v>0</v>
      </c>
      <c r="Q558" s="6">
        <v>0</v>
      </c>
      <c r="R558" s="7">
        <v>0</v>
      </c>
      <c r="S558" s="9">
        <v>0</v>
      </c>
      <c r="T558" s="10">
        <v>0</v>
      </c>
      <c r="U558" s="11">
        <v>0</v>
      </c>
    </row>
    <row r="559" spans="1:41">
      <c r="A559"/>
      <c r="B559"/>
      <c r="C559" s="12" t="s">
        <v>44</v>
      </c>
      <c r="D559" s="5">
        <v>12</v>
      </c>
      <c r="E559" s="6">
        <v>97</v>
      </c>
      <c r="F559" s="7">
        <v>35</v>
      </c>
      <c r="G559" s="9">
        <v>3</v>
      </c>
      <c r="H559" s="10">
        <v>25</v>
      </c>
      <c r="I559" s="11">
        <v>17</v>
      </c>
      <c r="J559" s="5">
        <v>16.54</v>
      </c>
      <c r="K559" s="6">
        <v>127.88</v>
      </c>
      <c r="L559" s="7">
        <v>43.44</v>
      </c>
      <c r="M559" s="9">
        <v>6.69</v>
      </c>
      <c r="N559" s="10">
        <v>30.67</v>
      </c>
      <c r="O559" s="11">
        <v>28.91</v>
      </c>
      <c r="P559" s="5">
        <v>39</v>
      </c>
      <c r="Q559" s="6">
        <v>301</v>
      </c>
      <c r="R559" s="7">
        <v>104</v>
      </c>
      <c r="S559" s="9">
        <v>15</v>
      </c>
      <c r="T559" s="10">
        <v>73</v>
      </c>
      <c r="U559" s="11">
        <v>68</v>
      </c>
    </row>
    <row r="560" spans="1:41">
      <c r="A560"/>
      <c r="B560"/>
      <c r="C560" s="12" t="s">
        <v>37</v>
      </c>
      <c r="D560" s="5">
        <v>35</v>
      </c>
      <c r="E560" s="6">
        <v>162</v>
      </c>
      <c r="F560" s="7">
        <v>33</v>
      </c>
      <c r="G560" s="9">
        <v>5</v>
      </c>
      <c r="H560" s="10">
        <v>30</v>
      </c>
      <c r="I560" s="11">
        <v>8</v>
      </c>
      <c r="J560" s="5">
        <v>43.12</v>
      </c>
      <c r="K560" s="6">
        <v>197.4</v>
      </c>
      <c r="L560" s="7">
        <v>46.45</v>
      </c>
      <c r="M560" s="9">
        <v>7.25</v>
      </c>
      <c r="N560" s="10">
        <v>32.42</v>
      </c>
      <c r="O560" s="11">
        <v>6.78</v>
      </c>
      <c r="P560" s="5">
        <v>101</v>
      </c>
      <c r="Q560" s="6">
        <v>461</v>
      </c>
      <c r="R560" s="7">
        <v>104</v>
      </c>
      <c r="S560" s="9">
        <v>17</v>
      </c>
      <c r="T560" s="10">
        <v>81</v>
      </c>
      <c r="U560" s="11">
        <v>18</v>
      </c>
    </row>
    <row r="561" spans="1:41">
      <c r="A561"/>
      <c r="B561"/>
      <c r="C561" s="12" t="s">
        <v>22</v>
      </c>
      <c r="D561" s="5">
        <v>0</v>
      </c>
      <c r="E561" s="6">
        <v>0</v>
      </c>
      <c r="F561" s="7">
        <v>0</v>
      </c>
      <c r="G561" s="9">
        <v>0</v>
      </c>
      <c r="H561" s="10">
        <v>0</v>
      </c>
      <c r="I561" s="11">
        <v>0</v>
      </c>
      <c r="J561" s="5">
        <v>0</v>
      </c>
      <c r="K561" s="6">
        <v>0</v>
      </c>
      <c r="L561" s="7">
        <v>0</v>
      </c>
      <c r="M561" s="9">
        <v>0</v>
      </c>
      <c r="N561" s="10">
        <v>0</v>
      </c>
      <c r="O561" s="11">
        <v>0</v>
      </c>
      <c r="P561" s="5">
        <v>0</v>
      </c>
      <c r="Q561" s="6">
        <v>0</v>
      </c>
      <c r="R561" s="7">
        <v>0</v>
      </c>
      <c r="S561" s="9">
        <v>0</v>
      </c>
      <c r="T561" s="10">
        <v>0</v>
      </c>
      <c r="U561" s="11">
        <v>0</v>
      </c>
    </row>
    <row r="562" spans="1:41">
      <c r="C562" s="13" t="s">
        <v>26</v>
      </c>
      <c r="D562" s="13" t="str">
        <f>SUM(D555:D561)</f>
        <v>0</v>
      </c>
      <c r="E562" s="13" t="str">
        <f>SUM(E555:E561)</f>
        <v>0</v>
      </c>
      <c r="F562" s="13" t="str">
        <f>SUM(F555:F561)</f>
        <v>0</v>
      </c>
      <c r="G562" s="13" t="str">
        <f>SUM(G555:G561)</f>
        <v>0</v>
      </c>
      <c r="H562" s="13" t="str">
        <f>SUM(H555:H561)</f>
        <v>0</v>
      </c>
      <c r="I562" s="13" t="str">
        <f>SUM(I555:I561)</f>
        <v>0</v>
      </c>
      <c r="J562" s="13" t="str">
        <f>SUM(J555:J561)</f>
        <v>0</v>
      </c>
      <c r="K562" s="13" t="str">
        <f>SUM(K555:K561)</f>
        <v>0</v>
      </c>
      <c r="L562" s="13" t="str">
        <f>SUM(L555:L561)</f>
        <v>0</v>
      </c>
      <c r="M562" s="13" t="str">
        <f>SUM(M555:M561)</f>
        <v>0</v>
      </c>
      <c r="N562" s="13" t="str">
        <f>SUM(N555:N561)</f>
        <v>0</v>
      </c>
      <c r="O562" s="13" t="str">
        <f>SUM(O555:O561)</f>
        <v>0</v>
      </c>
      <c r="P562" s="13" t="str">
        <f>SUM(P555:P561)</f>
        <v>0</v>
      </c>
      <c r="Q562" s="13" t="str">
        <f>SUM(Q555:Q561)</f>
        <v>0</v>
      </c>
      <c r="R562" s="13" t="str">
        <f>SUM(R555:R561)</f>
        <v>0</v>
      </c>
      <c r="S562" s="13" t="str">
        <f>SUM(S555:S561)</f>
        <v>0</v>
      </c>
      <c r="T562" s="13" t="str">
        <f>SUM(T555:T561)</f>
        <v>0</v>
      </c>
      <c r="U562" s="13" t="str">
        <f>SUM(U555:U561)</f>
        <v>0</v>
      </c>
    </row>
    <row r="563" spans="1:41">
      <c r="A563"/>
      <c r="B563" s="14" t="s">
        <v>143</v>
      </c>
      <c r="C563" s="12" t="s">
        <v>20</v>
      </c>
      <c r="D563" s="5">
        <v>0</v>
      </c>
      <c r="E563" s="6">
        <v>0</v>
      </c>
      <c r="F563" s="7">
        <v>0</v>
      </c>
      <c r="G563" s="9">
        <v>0</v>
      </c>
      <c r="H563" s="10">
        <v>0</v>
      </c>
      <c r="I563" s="11">
        <v>0</v>
      </c>
      <c r="J563" s="5">
        <v>0</v>
      </c>
      <c r="K563" s="6">
        <v>0</v>
      </c>
      <c r="L563" s="7">
        <v>0</v>
      </c>
      <c r="M563" s="9">
        <v>0</v>
      </c>
      <c r="N563" s="10">
        <v>0</v>
      </c>
      <c r="O563" s="11">
        <v>0</v>
      </c>
      <c r="P563" s="5">
        <v>0</v>
      </c>
      <c r="Q563" s="6">
        <v>0</v>
      </c>
      <c r="R563" s="7">
        <v>0</v>
      </c>
      <c r="S563" s="9">
        <v>0</v>
      </c>
      <c r="T563" s="10">
        <v>0</v>
      </c>
      <c r="U563" s="11">
        <v>0</v>
      </c>
    </row>
    <row r="564" spans="1:41">
      <c r="C564" s="13" t="s">
        <v>26</v>
      </c>
      <c r="D564" s="13" t="str">
        <f>SUM(D563:D563)</f>
        <v>0</v>
      </c>
      <c r="E564" s="13" t="str">
        <f>SUM(E563:E563)</f>
        <v>0</v>
      </c>
      <c r="F564" s="13" t="str">
        <f>SUM(F563:F563)</f>
        <v>0</v>
      </c>
      <c r="G564" s="13" t="str">
        <f>SUM(G563:G563)</f>
        <v>0</v>
      </c>
      <c r="H564" s="13" t="str">
        <f>SUM(H563:H563)</f>
        <v>0</v>
      </c>
      <c r="I564" s="13" t="str">
        <f>SUM(I563:I563)</f>
        <v>0</v>
      </c>
      <c r="J564" s="13" t="str">
        <f>SUM(J563:J563)</f>
        <v>0</v>
      </c>
      <c r="K564" s="13" t="str">
        <f>SUM(K563:K563)</f>
        <v>0</v>
      </c>
      <c r="L564" s="13" t="str">
        <f>SUM(L563:L563)</f>
        <v>0</v>
      </c>
      <c r="M564" s="13" t="str">
        <f>SUM(M563:M563)</f>
        <v>0</v>
      </c>
      <c r="N564" s="13" t="str">
        <f>SUM(N563:N563)</f>
        <v>0</v>
      </c>
      <c r="O564" s="13" t="str">
        <f>SUM(O563:O563)</f>
        <v>0</v>
      </c>
      <c r="P564" s="13" t="str">
        <f>SUM(P563:P563)</f>
        <v>0</v>
      </c>
      <c r="Q564" s="13" t="str">
        <f>SUM(Q563:Q563)</f>
        <v>0</v>
      </c>
      <c r="R564" s="13" t="str">
        <f>SUM(R563:R563)</f>
        <v>0</v>
      </c>
      <c r="S564" s="13" t="str">
        <f>SUM(S563:S563)</f>
        <v>0</v>
      </c>
      <c r="T564" s="13" t="str">
        <f>SUM(T563:T563)</f>
        <v>0</v>
      </c>
      <c r="U564" s="13" t="str">
        <f>SUM(U563:U563)</f>
        <v>0</v>
      </c>
    </row>
    <row r="565" spans="1:41">
      <c r="A565" s="9" t="s">
        <v>144</v>
      </c>
      <c r="B565" s="11" t="s">
        <v>145</v>
      </c>
      <c r="C565" s="12" t="s">
        <v>30</v>
      </c>
      <c r="D565" s="5">
        <v>9</v>
      </c>
      <c r="E565" s="6">
        <v>77</v>
      </c>
      <c r="F565" s="7">
        <v>56</v>
      </c>
      <c r="G565" s="9">
        <v>7</v>
      </c>
      <c r="H565" s="10">
        <v>75</v>
      </c>
      <c r="I565" s="11">
        <v>41</v>
      </c>
      <c r="J565" s="5">
        <v>13.2</v>
      </c>
      <c r="K565" s="6">
        <v>83.44</v>
      </c>
      <c r="L565" s="7">
        <v>79.35</v>
      </c>
      <c r="M565" s="9">
        <v>9.93</v>
      </c>
      <c r="N565" s="10">
        <v>88.64</v>
      </c>
      <c r="O565" s="11">
        <v>55.8</v>
      </c>
      <c r="P565" s="5">
        <v>27</v>
      </c>
      <c r="Q565" s="6">
        <v>180</v>
      </c>
      <c r="R565" s="7">
        <v>165</v>
      </c>
      <c r="S565" s="9">
        <v>21</v>
      </c>
      <c r="T565" s="10">
        <v>190</v>
      </c>
      <c r="U565" s="11">
        <v>117</v>
      </c>
    </row>
    <row r="566" spans="1:41">
      <c r="A566"/>
      <c r="B566"/>
      <c r="C566" s="12" t="s">
        <v>16</v>
      </c>
      <c r="D566" s="5">
        <v>31</v>
      </c>
      <c r="E566" s="6">
        <v>471</v>
      </c>
      <c r="F566" s="7">
        <v>237</v>
      </c>
      <c r="G566" s="9">
        <v>31</v>
      </c>
      <c r="H566" s="10">
        <v>332</v>
      </c>
      <c r="I566" s="11">
        <v>183</v>
      </c>
      <c r="J566" s="5">
        <v>32.2</v>
      </c>
      <c r="K566" s="6">
        <v>579.14</v>
      </c>
      <c r="L566" s="7">
        <v>316.77</v>
      </c>
      <c r="M566" s="9">
        <v>32.39</v>
      </c>
      <c r="N566" s="10">
        <v>359.57</v>
      </c>
      <c r="O566" s="11">
        <v>190.54</v>
      </c>
      <c r="P566" s="5">
        <v>70</v>
      </c>
      <c r="Q566" s="6">
        <v>1240</v>
      </c>
      <c r="R566" s="7">
        <v>684</v>
      </c>
      <c r="S566" s="9">
        <v>71</v>
      </c>
      <c r="T566" s="10">
        <v>789</v>
      </c>
      <c r="U566" s="11">
        <v>418</v>
      </c>
    </row>
    <row r="567" spans="1:41">
      <c r="A567"/>
      <c r="B567"/>
      <c r="C567" s="12" t="s">
        <v>17</v>
      </c>
      <c r="D567" s="5">
        <v>53</v>
      </c>
      <c r="E567" s="6">
        <v>692</v>
      </c>
      <c r="F567" s="7">
        <v>388</v>
      </c>
      <c r="G567" s="9">
        <v>38</v>
      </c>
      <c r="H567" s="10">
        <v>538</v>
      </c>
      <c r="I567" s="11">
        <v>328</v>
      </c>
      <c r="J567" s="5">
        <v>61.24</v>
      </c>
      <c r="K567" s="6">
        <v>886.34</v>
      </c>
      <c r="L567" s="7">
        <v>497.84</v>
      </c>
      <c r="M567" s="9">
        <v>44.05</v>
      </c>
      <c r="N567" s="10">
        <v>660.65</v>
      </c>
      <c r="O567" s="11">
        <v>377.15</v>
      </c>
      <c r="P567" s="5">
        <v>129</v>
      </c>
      <c r="Q567" s="6">
        <v>1890</v>
      </c>
      <c r="R567" s="7">
        <v>1071</v>
      </c>
      <c r="S567" s="9">
        <v>92</v>
      </c>
      <c r="T567" s="10">
        <v>1421</v>
      </c>
      <c r="U567" s="11">
        <v>826</v>
      </c>
    </row>
    <row r="568" spans="1:41">
      <c r="A568"/>
      <c r="B568"/>
      <c r="C568" s="12" t="s">
        <v>20</v>
      </c>
      <c r="D568" s="5">
        <v>6</v>
      </c>
      <c r="E568" s="6">
        <v>55</v>
      </c>
      <c r="F568" s="7">
        <v>25</v>
      </c>
      <c r="G568" s="9">
        <v>3</v>
      </c>
      <c r="H568" s="10">
        <v>49</v>
      </c>
      <c r="I568" s="11">
        <v>17</v>
      </c>
      <c r="J568" s="5">
        <v>7.6</v>
      </c>
      <c r="K568" s="6">
        <v>77.82</v>
      </c>
      <c r="L568" s="7">
        <v>26.24</v>
      </c>
      <c r="M568" s="9">
        <v>4</v>
      </c>
      <c r="N568" s="10">
        <v>62.64</v>
      </c>
      <c r="O568" s="11">
        <v>19.72</v>
      </c>
      <c r="P568" s="5">
        <v>16</v>
      </c>
      <c r="Q568" s="6">
        <v>164</v>
      </c>
      <c r="R568" s="7">
        <v>55</v>
      </c>
      <c r="S568" s="9">
        <v>8</v>
      </c>
      <c r="T568" s="10">
        <v>133</v>
      </c>
      <c r="U568" s="11">
        <v>42</v>
      </c>
    </row>
    <row r="569" spans="1:41">
      <c r="A569"/>
      <c r="B569"/>
      <c r="C569" s="12" t="s">
        <v>36</v>
      </c>
      <c r="D569" s="5">
        <v>32</v>
      </c>
      <c r="E569" s="6">
        <v>459</v>
      </c>
      <c r="F569" s="7">
        <v>271</v>
      </c>
      <c r="G569" s="9">
        <v>12</v>
      </c>
      <c r="H569" s="10">
        <v>354</v>
      </c>
      <c r="I569" s="11">
        <v>235</v>
      </c>
      <c r="J569" s="5">
        <v>42.55</v>
      </c>
      <c r="K569" s="6">
        <v>540.21</v>
      </c>
      <c r="L569" s="7">
        <v>331.05</v>
      </c>
      <c r="M569" s="9">
        <v>14.53</v>
      </c>
      <c r="N569" s="10">
        <v>361</v>
      </c>
      <c r="O569" s="11">
        <v>255.68</v>
      </c>
      <c r="P569" s="5">
        <v>91</v>
      </c>
      <c r="Q569" s="6">
        <v>1172</v>
      </c>
      <c r="R569" s="7">
        <v>723</v>
      </c>
      <c r="S569" s="9">
        <v>32</v>
      </c>
      <c r="T569" s="10">
        <v>797</v>
      </c>
      <c r="U569" s="11">
        <v>565</v>
      </c>
    </row>
    <row r="570" spans="1:41">
      <c r="A570"/>
      <c r="B570"/>
      <c r="C570" s="12" t="s">
        <v>23</v>
      </c>
      <c r="D570" s="5">
        <v>2</v>
      </c>
      <c r="E570" s="6">
        <v>113</v>
      </c>
      <c r="F570" s="7">
        <v>60</v>
      </c>
      <c r="G570" s="9">
        <v>4</v>
      </c>
      <c r="H570" s="10">
        <v>88</v>
      </c>
      <c r="I570" s="11">
        <v>56</v>
      </c>
      <c r="J570" s="5">
        <v>2</v>
      </c>
      <c r="K570" s="6">
        <v>119.58</v>
      </c>
      <c r="L570" s="7">
        <v>89.62</v>
      </c>
      <c r="M570" s="9">
        <v>3.75</v>
      </c>
      <c r="N570" s="10">
        <v>94.65</v>
      </c>
      <c r="O570" s="11">
        <v>64.31</v>
      </c>
      <c r="P570" s="5">
        <v>4</v>
      </c>
      <c r="Q570" s="6">
        <v>266</v>
      </c>
      <c r="R570" s="7">
        <v>190</v>
      </c>
      <c r="S570" s="9">
        <v>8</v>
      </c>
      <c r="T570" s="10">
        <v>203</v>
      </c>
      <c r="U570" s="11">
        <v>142</v>
      </c>
    </row>
    <row r="571" spans="1:41">
      <c r="A571"/>
      <c r="B571"/>
      <c r="C571" s="12" t="s">
        <v>35</v>
      </c>
      <c r="D571" s="5">
        <v>8</v>
      </c>
      <c r="E571" s="6">
        <v>133</v>
      </c>
      <c r="F571" s="7">
        <v>83</v>
      </c>
      <c r="G571" s="9">
        <v>1</v>
      </c>
      <c r="H571" s="10">
        <v>85</v>
      </c>
      <c r="I571" s="11">
        <v>76</v>
      </c>
      <c r="J571" s="5">
        <v>9.19</v>
      </c>
      <c r="K571" s="6">
        <v>146.39</v>
      </c>
      <c r="L571" s="7">
        <v>97.44</v>
      </c>
      <c r="M571" s="9">
        <v>1</v>
      </c>
      <c r="N571" s="10">
        <v>84.09</v>
      </c>
      <c r="O571" s="11">
        <v>77.26</v>
      </c>
      <c r="P571" s="5">
        <v>19</v>
      </c>
      <c r="Q571" s="6">
        <v>326</v>
      </c>
      <c r="R571" s="7">
        <v>210</v>
      </c>
      <c r="S571" s="9">
        <v>2</v>
      </c>
      <c r="T571" s="10">
        <v>186</v>
      </c>
      <c r="U571" s="11">
        <v>172</v>
      </c>
    </row>
    <row r="572" spans="1:41">
      <c r="C572" s="13" t="s">
        <v>26</v>
      </c>
      <c r="D572" s="13" t="str">
        <f>SUM(D565:D571)</f>
        <v>0</v>
      </c>
      <c r="E572" s="13" t="str">
        <f>SUM(E565:E571)</f>
        <v>0</v>
      </c>
      <c r="F572" s="13" t="str">
        <f>SUM(F565:F571)</f>
        <v>0</v>
      </c>
      <c r="G572" s="13" t="str">
        <f>SUM(G565:G571)</f>
        <v>0</v>
      </c>
      <c r="H572" s="13" t="str">
        <f>SUM(H565:H571)</f>
        <v>0</v>
      </c>
      <c r="I572" s="13" t="str">
        <f>SUM(I565:I571)</f>
        <v>0</v>
      </c>
      <c r="J572" s="13" t="str">
        <f>SUM(J565:J571)</f>
        <v>0</v>
      </c>
      <c r="K572" s="13" t="str">
        <f>SUM(K565:K571)</f>
        <v>0</v>
      </c>
      <c r="L572" s="13" t="str">
        <f>SUM(L565:L571)</f>
        <v>0</v>
      </c>
      <c r="M572" s="13" t="str">
        <f>SUM(M565:M571)</f>
        <v>0</v>
      </c>
      <c r="N572" s="13" t="str">
        <f>SUM(N565:N571)</f>
        <v>0</v>
      </c>
      <c r="O572" s="13" t="str">
        <f>SUM(O565:O571)</f>
        <v>0</v>
      </c>
      <c r="P572" s="13" t="str">
        <f>SUM(P565:P571)</f>
        <v>0</v>
      </c>
      <c r="Q572" s="13" t="str">
        <f>SUM(Q565:Q571)</f>
        <v>0</v>
      </c>
      <c r="R572" s="13" t="str">
        <f>SUM(R565:R571)</f>
        <v>0</v>
      </c>
      <c r="S572" s="13" t="str">
        <f>SUM(S565:S571)</f>
        <v>0</v>
      </c>
      <c r="T572" s="13" t="str">
        <f>SUM(T565:T571)</f>
        <v>0</v>
      </c>
      <c r="U572" s="13" t="str">
        <f>SUM(U565:U571)</f>
        <v>0</v>
      </c>
    </row>
    <row r="573" spans="1:41">
      <c r="A573"/>
      <c r="B573" s="14" t="s">
        <v>146</v>
      </c>
      <c r="C573" s="12" t="s">
        <v>42</v>
      </c>
      <c r="D573" s="5">
        <v>4</v>
      </c>
      <c r="E573" s="6">
        <v>26</v>
      </c>
      <c r="F573" s="7">
        <v>14</v>
      </c>
      <c r="G573" s="9">
        <v>2</v>
      </c>
      <c r="H573" s="10">
        <v>16</v>
      </c>
      <c r="I573" s="11">
        <v>9</v>
      </c>
      <c r="J573" s="5">
        <v>3.7</v>
      </c>
      <c r="K573" s="6">
        <v>43.67</v>
      </c>
      <c r="L573" s="7">
        <v>18.17</v>
      </c>
      <c r="M573" s="9">
        <v>3</v>
      </c>
      <c r="N573" s="10">
        <v>19.26</v>
      </c>
      <c r="O573" s="11">
        <v>13.37</v>
      </c>
      <c r="P573" s="5">
        <v>8</v>
      </c>
      <c r="Q573" s="6">
        <v>91</v>
      </c>
      <c r="R573" s="7">
        <v>37</v>
      </c>
      <c r="S573" s="9">
        <v>6</v>
      </c>
      <c r="T573" s="10">
        <v>41</v>
      </c>
      <c r="U573" s="11">
        <v>28</v>
      </c>
    </row>
    <row r="574" spans="1:41">
      <c r="A574"/>
      <c r="B574"/>
      <c r="C574" s="12" t="s">
        <v>30</v>
      </c>
      <c r="D574" s="5">
        <v>25</v>
      </c>
      <c r="E574" s="6">
        <v>359</v>
      </c>
      <c r="F574" s="7">
        <v>122</v>
      </c>
      <c r="G574" s="9">
        <v>14</v>
      </c>
      <c r="H574" s="10">
        <v>214</v>
      </c>
      <c r="I574" s="11">
        <v>86</v>
      </c>
      <c r="J574" s="5">
        <v>31.8</v>
      </c>
      <c r="K574" s="6">
        <v>615.52</v>
      </c>
      <c r="L574" s="7">
        <v>186.75</v>
      </c>
      <c r="M574" s="9">
        <v>16.31</v>
      </c>
      <c r="N574" s="10">
        <v>311.29</v>
      </c>
      <c r="O574" s="11">
        <v>140.59</v>
      </c>
      <c r="P574" s="5">
        <v>67</v>
      </c>
      <c r="Q574" s="6">
        <v>1292</v>
      </c>
      <c r="R574" s="7">
        <v>390</v>
      </c>
      <c r="S574" s="9">
        <v>35</v>
      </c>
      <c r="T574" s="10">
        <v>645</v>
      </c>
      <c r="U574" s="11">
        <v>295</v>
      </c>
    </row>
    <row r="575" spans="1:41">
      <c r="A575"/>
      <c r="B575"/>
      <c r="C575" s="12" t="s">
        <v>43</v>
      </c>
      <c r="D575" s="5">
        <v>8</v>
      </c>
      <c r="E575" s="6">
        <v>105</v>
      </c>
      <c r="F575" s="7">
        <v>33</v>
      </c>
      <c r="G575" s="9">
        <v>7</v>
      </c>
      <c r="H575" s="10">
        <v>70</v>
      </c>
      <c r="I575" s="11">
        <v>19</v>
      </c>
      <c r="J575" s="5">
        <v>11.16</v>
      </c>
      <c r="K575" s="6">
        <v>182.73</v>
      </c>
      <c r="L575" s="7">
        <v>67.3</v>
      </c>
      <c r="M575" s="9">
        <v>8.75</v>
      </c>
      <c r="N575" s="10">
        <v>93.7</v>
      </c>
      <c r="O575" s="11">
        <v>25.78</v>
      </c>
      <c r="P575" s="5">
        <v>23</v>
      </c>
      <c r="Q575" s="6">
        <v>377</v>
      </c>
      <c r="R575" s="7">
        <v>139</v>
      </c>
      <c r="S575" s="9">
        <v>18</v>
      </c>
      <c r="T575" s="10">
        <v>199</v>
      </c>
      <c r="U575" s="11">
        <v>55</v>
      </c>
    </row>
    <row r="576" spans="1:41">
      <c r="A576"/>
      <c r="B576"/>
      <c r="C576" s="12" t="s">
        <v>16</v>
      </c>
      <c r="D576" s="5">
        <v>48</v>
      </c>
      <c r="E576" s="6">
        <v>786</v>
      </c>
      <c r="F576" s="7">
        <v>277</v>
      </c>
      <c r="G576" s="9">
        <v>36</v>
      </c>
      <c r="H576" s="10">
        <v>475</v>
      </c>
      <c r="I576" s="11">
        <v>195</v>
      </c>
      <c r="J576" s="5">
        <v>68</v>
      </c>
      <c r="K576" s="6">
        <v>1112.53</v>
      </c>
      <c r="L576" s="7">
        <v>435.67</v>
      </c>
      <c r="M576" s="9">
        <v>48.46</v>
      </c>
      <c r="N576" s="10">
        <v>698.11</v>
      </c>
      <c r="O576" s="11">
        <v>267.52</v>
      </c>
      <c r="P576" s="5">
        <v>143</v>
      </c>
      <c r="Q576" s="6">
        <v>2329</v>
      </c>
      <c r="R576" s="7">
        <v>908</v>
      </c>
      <c r="S576" s="9">
        <v>100</v>
      </c>
      <c r="T576" s="10">
        <v>1455</v>
      </c>
      <c r="U576" s="11">
        <v>559</v>
      </c>
    </row>
    <row r="577" spans="1:41">
      <c r="A577"/>
      <c r="B577"/>
      <c r="C577" s="12" t="s">
        <v>17</v>
      </c>
      <c r="D577" s="5">
        <v>31</v>
      </c>
      <c r="E577" s="6">
        <v>452</v>
      </c>
      <c r="F577" s="7">
        <v>174</v>
      </c>
      <c r="G577" s="9">
        <v>13</v>
      </c>
      <c r="H577" s="10">
        <v>274</v>
      </c>
      <c r="I577" s="11">
        <v>121</v>
      </c>
      <c r="J577" s="5">
        <v>38.16</v>
      </c>
      <c r="K577" s="6">
        <v>685.74</v>
      </c>
      <c r="L577" s="7">
        <v>306.53</v>
      </c>
      <c r="M577" s="9">
        <v>15.82</v>
      </c>
      <c r="N577" s="10">
        <v>399.54</v>
      </c>
      <c r="O577" s="11">
        <v>189.45</v>
      </c>
      <c r="P577" s="5">
        <v>78</v>
      </c>
      <c r="Q577" s="6">
        <v>1433</v>
      </c>
      <c r="R577" s="7">
        <v>636</v>
      </c>
      <c r="S577" s="9">
        <v>34</v>
      </c>
      <c r="T577" s="10">
        <v>831</v>
      </c>
      <c r="U577" s="11">
        <v>393</v>
      </c>
    </row>
    <row r="578" spans="1:41">
      <c r="A578"/>
      <c r="B578"/>
      <c r="C578" s="12" t="s">
        <v>20</v>
      </c>
      <c r="D578" s="5">
        <v>74</v>
      </c>
      <c r="E578" s="6">
        <v>1023</v>
      </c>
      <c r="F578" s="7">
        <v>367</v>
      </c>
      <c r="G578" s="9">
        <v>32</v>
      </c>
      <c r="H578" s="10">
        <v>562</v>
      </c>
      <c r="I578" s="11">
        <v>209</v>
      </c>
      <c r="J578" s="5">
        <v>128.63</v>
      </c>
      <c r="K578" s="6">
        <v>1727.5</v>
      </c>
      <c r="L578" s="7">
        <v>572.47</v>
      </c>
      <c r="M578" s="9">
        <v>47.97</v>
      </c>
      <c r="N578" s="10">
        <v>803.54</v>
      </c>
      <c r="O578" s="11">
        <v>301.37</v>
      </c>
      <c r="P578" s="5">
        <v>267</v>
      </c>
      <c r="Q578" s="6">
        <v>3575</v>
      </c>
      <c r="R578" s="7">
        <v>1191</v>
      </c>
      <c r="S578" s="9">
        <v>103</v>
      </c>
      <c r="T578" s="10">
        <v>1694</v>
      </c>
      <c r="U578" s="11">
        <v>641</v>
      </c>
    </row>
    <row r="579" spans="1:41">
      <c r="A579"/>
      <c r="B579"/>
      <c r="C579" s="12" t="s">
        <v>36</v>
      </c>
      <c r="D579" s="5">
        <v>24</v>
      </c>
      <c r="E579" s="6">
        <v>423</v>
      </c>
      <c r="F579" s="7">
        <v>145</v>
      </c>
      <c r="G579" s="9">
        <v>16</v>
      </c>
      <c r="H579" s="10">
        <v>266</v>
      </c>
      <c r="I579" s="11">
        <v>95</v>
      </c>
      <c r="J579" s="5">
        <v>26.9</v>
      </c>
      <c r="K579" s="6">
        <v>609</v>
      </c>
      <c r="L579" s="7">
        <v>228.95</v>
      </c>
      <c r="M579" s="9">
        <v>22.14</v>
      </c>
      <c r="N579" s="10">
        <v>388.23</v>
      </c>
      <c r="O579" s="11">
        <v>138.09</v>
      </c>
      <c r="P579" s="5">
        <v>55</v>
      </c>
      <c r="Q579" s="6">
        <v>1260</v>
      </c>
      <c r="R579" s="7">
        <v>479</v>
      </c>
      <c r="S579" s="9">
        <v>46</v>
      </c>
      <c r="T579" s="10">
        <v>814</v>
      </c>
      <c r="U579" s="11">
        <v>289</v>
      </c>
    </row>
    <row r="580" spans="1:41">
      <c r="A580"/>
      <c r="B580"/>
      <c r="C580" s="12" t="s">
        <v>37</v>
      </c>
      <c r="D580" s="5">
        <v>5</v>
      </c>
      <c r="E580" s="6">
        <v>56</v>
      </c>
      <c r="F580" s="7">
        <v>20</v>
      </c>
      <c r="G580" s="9">
        <v>2</v>
      </c>
      <c r="H580" s="10">
        <v>28</v>
      </c>
      <c r="I580" s="11">
        <v>8</v>
      </c>
      <c r="J580" s="5">
        <v>4.8</v>
      </c>
      <c r="K580" s="6">
        <v>91.18</v>
      </c>
      <c r="L580" s="7">
        <v>37</v>
      </c>
      <c r="M580" s="9">
        <v>2</v>
      </c>
      <c r="N580" s="10">
        <v>43.04</v>
      </c>
      <c r="O580" s="11">
        <v>15.6</v>
      </c>
      <c r="P580" s="5">
        <v>10</v>
      </c>
      <c r="Q580" s="6">
        <v>189</v>
      </c>
      <c r="R580" s="7">
        <v>77</v>
      </c>
      <c r="S580" s="9">
        <v>4</v>
      </c>
      <c r="T580" s="10">
        <v>89</v>
      </c>
      <c r="U580" s="11">
        <v>32</v>
      </c>
    </row>
    <row r="581" spans="1:41">
      <c r="A581"/>
      <c r="B581"/>
      <c r="C581" s="12" t="s">
        <v>23</v>
      </c>
      <c r="D581" s="5">
        <v>7</v>
      </c>
      <c r="E581" s="6">
        <v>67</v>
      </c>
      <c r="F581" s="7">
        <v>32</v>
      </c>
      <c r="G581" s="9">
        <v>3</v>
      </c>
      <c r="H581" s="10">
        <v>46</v>
      </c>
      <c r="I581" s="11">
        <v>17</v>
      </c>
      <c r="J581" s="5">
        <v>10.49</v>
      </c>
      <c r="K581" s="6">
        <v>114.06</v>
      </c>
      <c r="L581" s="7">
        <v>58.34</v>
      </c>
      <c r="M581" s="9">
        <v>5.33</v>
      </c>
      <c r="N581" s="10">
        <v>68.5</v>
      </c>
      <c r="O581" s="11">
        <v>22.3</v>
      </c>
      <c r="P581" s="5">
        <v>22</v>
      </c>
      <c r="Q581" s="6">
        <v>242</v>
      </c>
      <c r="R581" s="7">
        <v>122</v>
      </c>
      <c r="S581" s="9">
        <v>12</v>
      </c>
      <c r="T581" s="10">
        <v>143</v>
      </c>
      <c r="U581" s="11">
        <v>49</v>
      </c>
    </row>
    <row r="582" spans="1:41">
      <c r="A582"/>
      <c r="B582"/>
      <c r="C582" s="12" t="s">
        <v>34</v>
      </c>
      <c r="D582" s="5">
        <v>1</v>
      </c>
      <c r="E582" s="6">
        <v>19</v>
      </c>
      <c r="F582" s="7">
        <v>7</v>
      </c>
      <c r="G582" s="9">
        <v>0</v>
      </c>
      <c r="H582" s="10">
        <v>1</v>
      </c>
      <c r="I582" s="11">
        <v>3</v>
      </c>
      <c r="J582" s="5">
        <v>0.31</v>
      </c>
      <c r="K582" s="6">
        <v>25.09</v>
      </c>
      <c r="L582" s="7">
        <v>12</v>
      </c>
      <c r="M582" s="9">
        <v>0</v>
      </c>
      <c r="N582" s="10">
        <v>2.5</v>
      </c>
      <c r="O582" s="11">
        <v>4.5</v>
      </c>
      <c r="P582" s="5">
        <v>1</v>
      </c>
      <c r="Q582" s="6">
        <v>52</v>
      </c>
      <c r="R582" s="7">
        <v>24</v>
      </c>
      <c r="S582" s="9">
        <v>0</v>
      </c>
      <c r="T582" s="10">
        <v>5</v>
      </c>
      <c r="U582" s="11">
        <v>9</v>
      </c>
    </row>
    <row r="583" spans="1:41">
      <c r="A583"/>
      <c r="B583"/>
      <c r="C583" s="12" t="s">
        <v>35</v>
      </c>
      <c r="D583" s="5">
        <v>2</v>
      </c>
      <c r="E583" s="6">
        <v>42</v>
      </c>
      <c r="F583" s="7">
        <v>20</v>
      </c>
      <c r="G583" s="9">
        <v>1</v>
      </c>
      <c r="H583" s="10">
        <v>22</v>
      </c>
      <c r="I583" s="11">
        <v>16</v>
      </c>
      <c r="J583" s="5">
        <v>3</v>
      </c>
      <c r="K583" s="6">
        <v>51</v>
      </c>
      <c r="L583" s="7">
        <v>27.59</v>
      </c>
      <c r="M583" s="9">
        <v>1</v>
      </c>
      <c r="N583" s="10">
        <v>31.2</v>
      </c>
      <c r="O583" s="11">
        <v>14.32</v>
      </c>
      <c r="P583" s="5">
        <v>6</v>
      </c>
      <c r="Q583" s="6">
        <v>108</v>
      </c>
      <c r="R583" s="7">
        <v>57</v>
      </c>
      <c r="S583" s="9">
        <v>2</v>
      </c>
      <c r="T583" s="10">
        <v>68</v>
      </c>
      <c r="U583" s="11">
        <v>32</v>
      </c>
    </row>
    <row r="584" spans="1:41">
      <c r="C584" s="13" t="s">
        <v>26</v>
      </c>
      <c r="D584" s="13" t="str">
        <f>SUM(D573:D583)</f>
        <v>0</v>
      </c>
      <c r="E584" s="13" t="str">
        <f>SUM(E573:E583)</f>
        <v>0</v>
      </c>
      <c r="F584" s="13" t="str">
        <f>SUM(F573:F583)</f>
        <v>0</v>
      </c>
      <c r="G584" s="13" t="str">
        <f>SUM(G573:G583)</f>
        <v>0</v>
      </c>
      <c r="H584" s="13" t="str">
        <f>SUM(H573:H583)</f>
        <v>0</v>
      </c>
      <c r="I584" s="13" t="str">
        <f>SUM(I573:I583)</f>
        <v>0</v>
      </c>
      <c r="J584" s="13" t="str">
        <f>SUM(J573:J583)</f>
        <v>0</v>
      </c>
      <c r="K584" s="13" t="str">
        <f>SUM(K573:K583)</f>
        <v>0</v>
      </c>
      <c r="L584" s="13" t="str">
        <f>SUM(L573:L583)</f>
        <v>0</v>
      </c>
      <c r="M584" s="13" t="str">
        <f>SUM(M573:M583)</f>
        <v>0</v>
      </c>
      <c r="N584" s="13" t="str">
        <f>SUM(N573:N583)</f>
        <v>0</v>
      </c>
      <c r="O584" s="13" t="str">
        <f>SUM(O573:O583)</f>
        <v>0</v>
      </c>
      <c r="P584" s="13" t="str">
        <f>SUM(P573:P583)</f>
        <v>0</v>
      </c>
      <c r="Q584" s="13" t="str">
        <f>SUM(Q573:Q583)</f>
        <v>0</v>
      </c>
      <c r="R584" s="13" t="str">
        <f>SUM(R573:R583)</f>
        <v>0</v>
      </c>
      <c r="S584" s="13" t="str">
        <f>SUM(S573:S583)</f>
        <v>0</v>
      </c>
      <c r="T584" s="13" t="str">
        <f>SUM(T573:T583)</f>
        <v>0</v>
      </c>
      <c r="U584" s="13" t="str">
        <f>SUM(U573:U583)</f>
        <v>0</v>
      </c>
    </row>
    <row r="585" spans="1:41">
      <c r="A585"/>
      <c r="B585" s="14" t="s">
        <v>147</v>
      </c>
      <c r="C585" s="12" t="s">
        <v>30</v>
      </c>
      <c r="D585" s="5">
        <v>17</v>
      </c>
      <c r="E585" s="6">
        <v>328</v>
      </c>
      <c r="F585" s="7">
        <v>201</v>
      </c>
      <c r="G585" s="9">
        <v>9</v>
      </c>
      <c r="H585" s="10">
        <v>236</v>
      </c>
      <c r="I585" s="11">
        <v>113</v>
      </c>
      <c r="J585" s="5">
        <v>17.59</v>
      </c>
      <c r="K585" s="6">
        <v>346.61</v>
      </c>
      <c r="L585" s="7">
        <v>220.71</v>
      </c>
      <c r="M585" s="9">
        <v>7.07</v>
      </c>
      <c r="N585" s="10">
        <v>227.6</v>
      </c>
      <c r="O585" s="11">
        <v>113.46</v>
      </c>
      <c r="P585" s="5">
        <v>38</v>
      </c>
      <c r="Q585" s="6">
        <v>776</v>
      </c>
      <c r="R585" s="7">
        <v>494</v>
      </c>
      <c r="S585" s="9">
        <v>16</v>
      </c>
      <c r="T585" s="10">
        <v>513</v>
      </c>
      <c r="U585" s="11">
        <v>253</v>
      </c>
    </row>
    <row r="586" spans="1:41">
      <c r="A586"/>
      <c r="B586"/>
      <c r="C586" s="12" t="s">
        <v>16</v>
      </c>
      <c r="D586" s="5">
        <v>4</v>
      </c>
      <c r="E586" s="6">
        <v>108</v>
      </c>
      <c r="F586" s="7">
        <v>85</v>
      </c>
      <c r="G586" s="9">
        <v>1</v>
      </c>
      <c r="H586" s="10">
        <v>72</v>
      </c>
      <c r="I586" s="11">
        <v>49</v>
      </c>
      <c r="J586" s="5">
        <v>2.9</v>
      </c>
      <c r="K586" s="6">
        <v>79.36</v>
      </c>
      <c r="L586" s="7">
        <v>59.4</v>
      </c>
      <c r="M586" s="9">
        <v>0.9</v>
      </c>
      <c r="N586" s="10">
        <v>51.37</v>
      </c>
      <c r="O586" s="11">
        <v>34.69</v>
      </c>
      <c r="P586" s="5">
        <v>6</v>
      </c>
      <c r="Q586" s="6">
        <v>195</v>
      </c>
      <c r="R586" s="7">
        <v>150</v>
      </c>
      <c r="S586" s="9">
        <v>2</v>
      </c>
      <c r="T586" s="10">
        <v>125</v>
      </c>
      <c r="U586" s="11">
        <v>87</v>
      </c>
    </row>
    <row r="587" spans="1:41">
      <c r="A587"/>
      <c r="B587"/>
      <c r="C587" s="12" t="s">
        <v>17</v>
      </c>
      <c r="D587" s="5">
        <v>22</v>
      </c>
      <c r="E587" s="6">
        <v>485</v>
      </c>
      <c r="F587" s="7">
        <v>373</v>
      </c>
      <c r="G587" s="9">
        <v>11</v>
      </c>
      <c r="H587" s="10">
        <v>318</v>
      </c>
      <c r="I587" s="11">
        <v>264</v>
      </c>
      <c r="J587" s="5">
        <v>19.53</v>
      </c>
      <c r="K587" s="6">
        <v>449.08</v>
      </c>
      <c r="L587" s="7">
        <v>357.09</v>
      </c>
      <c r="M587" s="9">
        <v>13.42</v>
      </c>
      <c r="N587" s="10">
        <v>271.08</v>
      </c>
      <c r="O587" s="11">
        <v>230.88</v>
      </c>
      <c r="P587" s="5">
        <v>44</v>
      </c>
      <c r="Q587" s="6">
        <v>1052</v>
      </c>
      <c r="R587" s="7">
        <v>829</v>
      </c>
      <c r="S587" s="9">
        <v>28</v>
      </c>
      <c r="T587" s="10">
        <v>624</v>
      </c>
      <c r="U587" s="11">
        <v>532</v>
      </c>
    </row>
    <row r="588" spans="1:41">
      <c r="A588"/>
      <c r="B588"/>
      <c r="C588" s="12" t="s">
        <v>18</v>
      </c>
      <c r="D588" s="5">
        <v>1</v>
      </c>
      <c r="E588" s="6">
        <v>42</v>
      </c>
      <c r="F588" s="7">
        <v>24</v>
      </c>
      <c r="G588" s="9">
        <v>2</v>
      </c>
      <c r="H588" s="10">
        <v>19</v>
      </c>
      <c r="I588" s="11">
        <v>8</v>
      </c>
      <c r="J588" s="5">
        <v>1</v>
      </c>
      <c r="K588" s="6">
        <v>30.86</v>
      </c>
      <c r="L588" s="7">
        <v>14.04</v>
      </c>
      <c r="M588" s="9">
        <v>1</v>
      </c>
      <c r="N588" s="10">
        <v>11.03</v>
      </c>
      <c r="O588" s="11">
        <v>5.91</v>
      </c>
      <c r="P588" s="5">
        <v>2</v>
      </c>
      <c r="Q588" s="6">
        <v>73</v>
      </c>
      <c r="R588" s="7">
        <v>33</v>
      </c>
      <c r="S588" s="9">
        <v>2</v>
      </c>
      <c r="T588" s="10">
        <v>27</v>
      </c>
      <c r="U588" s="11">
        <v>13</v>
      </c>
    </row>
    <row r="589" spans="1:41">
      <c r="A589"/>
      <c r="B589"/>
      <c r="C589" s="12" t="s">
        <v>36</v>
      </c>
      <c r="D589" s="5">
        <v>10</v>
      </c>
      <c r="E589" s="6">
        <v>195</v>
      </c>
      <c r="F589" s="7">
        <v>89</v>
      </c>
      <c r="G589" s="9">
        <v>2</v>
      </c>
      <c r="H589" s="10">
        <v>102</v>
      </c>
      <c r="I589" s="11">
        <v>66</v>
      </c>
      <c r="J589" s="5">
        <v>11</v>
      </c>
      <c r="K589" s="6">
        <v>175.78</v>
      </c>
      <c r="L589" s="7">
        <v>79.99</v>
      </c>
      <c r="M589" s="9">
        <v>1.78</v>
      </c>
      <c r="N589" s="10">
        <v>83.6</v>
      </c>
      <c r="O589" s="11">
        <v>65.22</v>
      </c>
      <c r="P589" s="5">
        <v>24</v>
      </c>
      <c r="Q589" s="6">
        <v>401</v>
      </c>
      <c r="R589" s="7">
        <v>188</v>
      </c>
      <c r="S589" s="9">
        <v>4</v>
      </c>
      <c r="T589" s="10">
        <v>191</v>
      </c>
      <c r="U589" s="11">
        <v>148</v>
      </c>
    </row>
    <row r="590" spans="1:41">
      <c r="A590"/>
      <c r="B590"/>
      <c r="C590" s="12" t="s">
        <v>23</v>
      </c>
      <c r="D590" s="5">
        <v>8</v>
      </c>
      <c r="E590" s="6">
        <v>100</v>
      </c>
      <c r="F590" s="7">
        <v>65</v>
      </c>
      <c r="G590" s="9">
        <v>3</v>
      </c>
      <c r="H590" s="10">
        <v>58</v>
      </c>
      <c r="I590" s="11">
        <v>49</v>
      </c>
      <c r="J590" s="5">
        <v>7.61</v>
      </c>
      <c r="K590" s="6">
        <v>107.18</v>
      </c>
      <c r="L590" s="7">
        <v>78.64</v>
      </c>
      <c r="M590" s="9">
        <v>5.88</v>
      </c>
      <c r="N590" s="10">
        <v>59.47</v>
      </c>
      <c r="O590" s="11">
        <v>58.13</v>
      </c>
      <c r="P590" s="5">
        <v>17</v>
      </c>
      <c r="Q590" s="6">
        <v>240</v>
      </c>
      <c r="R590" s="7">
        <v>181</v>
      </c>
      <c r="S590" s="9">
        <v>12</v>
      </c>
      <c r="T590" s="10">
        <v>141</v>
      </c>
      <c r="U590" s="11">
        <v>134</v>
      </c>
    </row>
    <row r="591" spans="1:41">
      <c r="A591"/>
      <c r="B591"/>
      <c r="C591" s="12" t="s">
        <v>34</v>
      </c>
      <c r="D591" s="5">
        <v>3</v>
      </c>
      <c r="E591" s="6">
        <v>45</v>
      </c>
      <c r="F591" s="7">
        <v>19</v>
      </c>
      <c r="G591" s="9">
        <v>3</v>
      </c>
      <c r="H591" s="10">
        <v>37</v>
      </c>
      <c r="I591" s="11">
        <v>27</v>
      </c>
      <c r="J591" s="5">
        <v>2.96</v>
      </c>
      <c r="K591" s="6">
        <v>37.15</v>
      </c>
      <c r="L591" s="7">
        <v>22.11</v>
      </c>
      <c r="M591" s="9">
        <v>2.23</v>
      </c>
      <c r="N591" s="10">
        <v>28.05</v>
      </c>
      <c r="O591" s="11">
        <v>20.45</v>
      </c>
      <c r="P591" s="5">
        <v>6</v>
      </c>
      <c r="Q591" s="6">
        <v>92</v>
      </c>
      <c r="R591" s="7">
        <v>48</v>
      </c>
      <c r="S591" s="9">
        <v>6</v>
      </c>
      <c r="T591" s="10">
        <v>70</v>
      </c>
      <c r="U591" s="11">
        <v>50</v>
      </c>
    </row>
    <row r="592" spans="1:41">
      <c r="A592"/>
      <c r="B592"/>
      <c r="C592" s="12" t="s">
        <v>35</v>
      </c>
      <c r="D592" s="5">
        <v>12</v>
      </c>
      <c r="E592" s="6">
        <v>149</v>
      </c>
      <c r="F592" s="7">
        <v>124</v>
      </c>
      <c r="G592" s="9">
        <v>10</v>
      </c>
      <c r="H592" s="10">
        <v>120</v>
      </c>
      <c r="I592" s="11">
        <v>75</v>
      </c>
      <c r="J592" s="5">
        <v>12.05</v>
      </c>
      <c r="K592" s="6">
        <v>180.1</v>
      </c>
      <c r="L592" s="7">
        <v>159.98</v>
      </c>
      <c r="M592" s="9">
        <v>11.05</v>
      </c>
      <c r="N592" s="10">
        <v>126.25</v>
      </c>
      <c r="O592" s="11">
        <v>82.32</v>
      </c>
      <c r="P592" s="5">
        <v>25</v>
      </c>
      <c r="Q592" s="6">
        <v>397</v>
      </c>
      <c r="R592" s="7">
        <v>349</v>
      </c>
      <c r="S592" s="9">
        <v>24</v>
      </c>
      <c r="T592" s="10">
        <v>282</v>
      </c>
      <c r="U592" s="11">
        <v>183</v>
      </c>
    </row>
    <row r="593" spans="1:41">
      <c r="C593" s="13" t="s">
        <v>26</v>
      </c>
      <c r="D593" s="13" t="str">
        <f>SUM(D585:D592)</f>
        <v>0</v>
      </c>
      <c r="E593" s="13" t="str">
        <f>SUM(E585:E592)</f>
        <v>0</v>
      </c>
      <c r="F593" s="13" t="str">
        <f>SUM(F585:F592)</f>
        <v>0</v>
      </c>
      <c r="G593" s="13" t="str">
        <f>SUM(G585:G592)</f>
        <v>0</v>
      </c>
      <c r="H593" s="13" t="str">
        <f>SUM(H585:H592)</f>
        <v>0</v>
      </c>
      <c r="I593" s="13" t="str">
        <f>SUM(I585:I592)</f>
        <v>0</v>
      </c>
      <c r="J593" s="13" t="str">
        <f>SUM(J585:J592)</f>
        <v>0</v>
      </c>
      <c r="K593" s="13" t="str">
        <f>SUM(K585:K592)</f>
        <v>0</v>
      </c>
      <c r="L593" s="13" t="str">
        <f>SUM(L585:L592)</f>
        <v>0</v>
      </c>
      <c r="M593" s="13" t="str">
        <f>SUM(M585:M592)</f>
        <v>0</v>
      </c>
      <c r="N593" s="13" t="str">
        <f>SUM(N585:N592)</f>
        <v>0</v>
      </c>
      <c r="O593" s="13" t="str">
        <f>SUM(O585:O592)</f>
        <v>0</v>
      </c>
      <c r="P593" s="13" t="str">
        <f>SUM(P585:P592)</f>
        <v>0</v>
      </c>
      <c r="Q593" s="13" t="str">
        <f>SUM(Q585:Q592)</f>
        <v>0</v>
      </c>
      <c r="R593" s="13" t="str">
        <f>SUM(R585:R592)</f>
        <v>0</v>
      </c>
      <c r="S593" s="13" t="str">
        <f>SUM(S585:S592)</f>
        <v>0</v>
      </c>
      <c r="T593" s="13" t="str">
        <f>SUM(T585:T592)</f>
        <v>0</v>
      </c>
      <c r="U593" s="13" t="str">
        <f>SUM(U585:U592)</f>
        <v>0</v>
      </c>
    </row>
    <row r="594" spans="1:41">
      <c r="A594"/>
      <c r="B594" s="14" t="s">
        <v>148</v>
      </c>
      <c r="C594" s="12" t="s">
        <v>30</v>
      </c>
      <c r="D594" s="5">
        <v>9</v>
      </c>
      <c r="E594" s="6">
        <v>229</v>
      </c>
      <c r="F594" s="7">
        <v>115</v>
      </c>
      <c r="G594" s="9">
        <v>2</v>
      </c>
      <c r="H594" s="10">
        <v>111</v>
      </c>
      <c r="I594" s="11">
        <v>82</v>
      </c>
      <c r="J594" s="5">
        <v>12.45</v>
      </c>
      <c r="K594" s="6">
        <v>242.05</v>
      </c>
      <c r="L594" s="7">
        <v>106.99</v>
      </c>
      <c r="M594" s="9">
        <v>3.8</v>
      </c>
      <c r="N594" s="10">
        <v>114.93</v>
      </c>
      <c r="O594" s="11">
        <v>72.71</v>
      </c>
      <c r="P594" s="5">
        <v>27</v>
      </c>
      <c r="Q594" s="6">
        <v>560</v>
      </c>
      <c r="R594" s="7">
        <v>253</v>
      </c>
      <c r="S594" s="9">
        <v>8</v>
      </c>
      <c r="T594" s="10">
        <v>265</v>
      </c>
      <c r="U594" s="11">
        <v>179</v>
      </c>
    </row>
    <row r="595" spans="1:41">
      <c r="A595"/>
      <c r="B595"/>
      <c r="C595" s="12" t="s">
        <v>16</v>
      </c>
      <c r="D595" s="5">
        <v>1</v>
      </c>
      <c r="E595" s="6">
        <v>68</v>
      </c>
      <c r="F595" s="7">
        <v>56</v>
      </c>
      <c r="G595" s="9">
        <v>0</v>
      </c>
      <c r="H595" s="10">
        <v>58</v>
      </c>
      <c r="I595" s="11">
        <v>52</v>
      </c>
      <c r="J595" s="5">
        <v>1</v>
      </c>
      <c r="K595" s="6">
        <v>73</v>
      </c>
      <c r="L595" s="7">
        <v>60.57</v>
      </c>
      <c r="M595" s="9">
        <v>0</v>
      </c>
      <c r="N595" s="10">
        <v>50.76</v>
      </c>
      <c r="O595" s="11">
        <v>52.49</v>
      </c>
      <c r="P595" s="5">
        <v>2</v>
      </c>
      <c r="Q595" s="6">
        <v>167</v>
      </c>
      <c r="R595" s="7">
        <v>140</v>
      </c>
      <c r="S595" s="9">
        <v>0</v>
      </c>
      <c r="T595" s="10">
        <v>122</v>
      </c>
      <c r="U595" s="11">
        <v>125</v>
      </c>
    </row>
    <row r="596" spans="1:41">
      <c r="A596"/>
      <c r="B596"/>
      <c r="C596" s="12" t="s">
        <v>17</v>
      </c>
      <c r="D596" s="5">
        <v>20</v>
      </c>
      <c r="E596" s="6">
        <v>551</v>
      </c>
      <c r="F596" s="7">
        <v>343</v>
      </c>
      <c r="G596" s="9">
        <v>6</v>
      </c>
      <c r="H596" s="10">
        <v>328</v>
      </c>
      <c r="I596" s="11">
        <v>196</v>
      </c>
      <c r="J596" s="5">
        <v>22.97</v>
      </c>
      <c r="K596" s="6">
        <v>605.31</v>
      </c>
      <c r="L596" s="7">
        <v>354.36</v>
      </c>
      <c r="M596" s="9">
        <v>6.47</v>
      </c>
      <c r="N596" s="10">
        <v>326.45</v>
      </c>
      <c r="O596" s="11">
        <v>193.33</v>
      </c>
      <c r="P596" s="5">
        <v>51</v>
      </c>
      <c r="Q596" s="6">
        <v>1367</v>
      </c>
      <c r="R596" s="7">
        <v>826</v>
      </c>
      <c r="S596" s="9">
        <v>15</v>
      </c>
      <c r="T596" s="10">
        <v>747</v>
      </c>
      <c r="U596" s="11">
        <v>464</v>
      </c>
    </row>
    <row r="597" spans="1:41">
      <c r="A597"/>
      <c r="B597"/>
      <c r="C597" s="12" t="s">
        <v>20</v>
      </c>
      <c r="D597" s="5">
        <v>8</v>
      </c>
      <c r="E597" s="6">
        <v>273</v>
      </c>
      <c r="F597" s="7">
        <v>129</v>
      </c>
      <c r="G597" s="9">
        <v>5</v>
      </c>
      <c r="H597" s="10">
        <v>165</v>
      </c>
      <c r="I597" s="11">
        <v>89</v>
      </c>
      <c r="J597" s="5">
        <v>11.78</v>
      </c>
      <c r="K597" s="6">
        <v>439.24</v>
      </c>
      <c r="L597" s="7">
        <v>207.34</v>
      </c>
      <c r="M597" s="9">
        <v>4.48</v>
      </c>
      <c r="N597" s="10">
        <v>240.23</v>
      </c>
      <c r="O597" s="11">
        <v>110.41</v>
      </c>
      <c r="P597" s="5">
        <v>25</v>
      </c>
      <c r="Q597" s="6">
        <v>935</v>
      </c>
      <c r="R597" s="7">
        <v>445</v>
      </c>
      <c r="S597" s="9">
        <v>9</v>
      </c>
      <c r="T597" s="10">
        <v>521</v>
      </c>
      <c r="U597" s="11">
        <v>247</v>
      </c>
    </row>
    <row r="598" spans="1:41">
      <c r="A598"/>
      <c r="B598"/>
      <c r="C598" s="12" t="s">
        <v>36</v>
      </c>
      <c r="D598" s="5">
        <v>0</v>
      </c>
      <c r="E598" s="6">
        <v>70</v>
      </c>
      <c r="F598" s="7">
        <v>38</v>
      </c>
      <c r="G598" s="9">
        <v>0</v>
      </c>
      <c r="H598" s="10">
        <v>26</v>
      </c>
      <c r="I598" s="11">
        <v>24</v>
      </c>
      <c r="J598" s="5">
        <v>0</v>
      </c>
      <c r="K598" s="6">
        <v>60.51</v>
      </c>
      <c r="L598" s="7">
        <v>38.37</v>
      </c>
      <c r="M598" s="9">
        <v>0</v>
      </c>
      <c r="N598" s="10">
        <v>19.94</v>
      </c>
      <c r="O598" s="11">
        <v>25.19</v>
      </c>
      <c r="P598" s="5">
        <v>0</v>
      </c>
      <c r="Q598" s="6">
        <v>140</v>
      </c>
      <c r="R598" s="7">
        <v>88</v>
      </c>
      <c r="S598" s="9">
        <v>0</v>
      </c>
      <c r="T598" s="10">
        <v>52</v>
      </c>
      <c r="U598" s="11">
        <v>59</v>
      </c>
    </row>
    <row r="599" spans="1:41">
      <c r="A599"/>
      <c r="B599"/>
      <c r="C599" s="12" t="s">
        <v>22</v>
      </c>
      <c r="D599" s="5">
        <v>5</v>
      </c>
      <c r="E599" s="6">
        <v>183</v>
      </c>
      <c r="F599" s="7">
        <v>131</v>
      </c>
      <c r="G599" s="9">
        <v>3</v>
      </c>
      <c r="H599" s="10">
        <v>213</v>
      </c>
      <c r="I599" s="11">
        <v>143</v>
      </c>
      <c r="J599" s="5">
        <v>1.95</v>
      </c>
      <c r="K599" s="6">
        <v>189.07</v>
      </c>
      <c r="L599" s="7">
        <v>122.43</v>
      </c>
      <c r="M599" s="9">
        <v>1.7</v>
      </c>
      <c r="N599" s="10">
        <v>209.33</v>
      </c>
      <c r="O599" s="11">
        <v>130.4</v>
      </c>
      <c r="P599" s="5">
        <v>6</v>
      </c>
      <c r="Q599" s="6">
        <v>446</v>
      </c>
      <c r="R599" s="7">
        <v>307</v>
      </c>
      <c r="S599" s="9">
        <v>4</v>
      </c>
      <c r="T599" s="10">
        <v>503</v>
      </c>
      <c r="U599" s="11">
        <v>323</v>
      </c>
    </row>
    <row r="600" spans="1:41">
      <c r="A600"/>
      <c r="B600"/>
      <c r="C600" s="12" t="s">
        <v>23</v>
      </c>
      <c r="D600" s="5">
        <v>2</v>
      </c>
      <c r="E600" s="6">
        <v>47</v>
      </c>
      <c r="F600" s="7">
        <v>21</v>
      </c>
      <c r="G600" s="9">
        <v>1</v>
      </c>
      <c r="H600" s="10">
        <v>28</v>
      </c>
      <c r="I600" s="11">
        <v>17</v>
      </c>
      <c r="J600" s="5">
        <v>2.5</v>
      </c>
      <c r="K600" s="6">
        <v>61.2</v>
      </c>
      <c r="L600" s="7">
        <v>23.84</v>
      </c>
      <c r="M600" s="9">
        <v>1.7</v>
      </c>
      <c r="N600" s="10">
        <v>39.72</v>
      </c>
      <c r="O600" s="11">
        <v>29.8</v>
      </c>
      <c r="P600" s="5">
        <v>5</v>
      </c>
      <c r="Q600" s="6">
        <v>133</v>
      </c>
      <c r="R600" s="7">
        <v>52</v>
      </c>
      <c r="S600" s="9">
        <v>4</v>
      </c>
      <c r="T600" s="10">
        <v>87</v>
      </c>
      <c r="U600" s="11">
        <v>61</v>
      </c>
    </row>
    <row r="601" spans="1:41">
      <c r="A601"/>
      <c r="B601"/>
      <c r="C601" s="12" t="s">
        <v>34</v>
      </c>
      <c r="D601" s="5">
        <v>1</v>
      </c>
      <c r="E601" s="6">
        <v>36</v>
      </c>
      <c r="F601" s="7">
        <v>27</v>
      </c>
      <c r="G601" s="9">
        <v>2</v>
      </c>
      <c r="H601" s="10">
        <v>22</v>
      </c>
      <c r="I601" s="11">
        <v>26</v>
      </c>
      <c r="J601" s="5">
        <v>1.74</v>
      </c>
      <c r="K601" s="6">
        <v>29.75</v>
      </c>
      <c r="L601" s="7">
        <v>25.98</v>
      </c>
      <c r="M601" s="9">
        <v>0.91</v>
      </c>
      <c r="N601" s="10">
        <v>18.72</v>
      </c>
      <c r="O601" s="11">
        <v>28.15</v>
      </c>
      <c r="P601" s="5">
        <v>4</v>
      </c>
      <c r="Q601" s="6">
        <v>73</v>
      </c>
      <c r="R601" s="7">
        <v>62</v>
      </c>
      <c r="S601" s="9">
        <v>3</v>
      </c>
      <c r="T601" s="10">
        <v>49</v>
      </c>
      <c r="U601" s="11">
        <v>68</v>
      </c>
    </row>
    <row r="602" spans="1:41">
      <c r="A602"/>
      <c r="B602"/>
      <c r="C602" s="12" t="s">
        <v>35</v>
      </c>
      <c r="D602" s="5">
        <v>2</v>
      </c>
      <c r="E602" s="6">
        <v>124</v>
      </c>
      <c r="F602" s="7">
        <v>77</v>
      </c>
      <c r="G602" s="9">
        <v>1</v>
      </c>
      <c r="H602" s="10">
        <v>67</v>
      </c>
      <c r="I602" s="11">
        <v>46</v>
      </c>
      <c r="J602" s="5">
        <v>1.55</v>
      </c>
      <c r="K602" s="6">
        <v>130.12</v>
      </c>
      <c r="L602" s="7">
        <v>81.85</v>
      </c>
      <c r="M602" s="9">
        <v>0.25</v>
      </c>
      <c r="N602" s="10">
        <v>67.78</v>
      </c>
      <c r="O602" s="11">
        <v>36.67</v>
      </c>
      <c r="P602" s="5">
        <v>4</v>
      </c>
      <c r="Q602" s="6">
        <v>309</v>
      </c>
      <c r="R602" s="7">
        <v>193</v>
      </c>
      <c r="S602" s="9">
        <v>1</v>
      </c>
      <c r="T602" s="10">
        <v>157</v>
      </c>
      <c r="U602" s="11">
        <v>89</v>
      </c>
    </row>
    <row r="603" spans="1:41">
      <c r="C603" s="13" t="s">
        <v>26</v>
      </c>
      <c r="D603" s="13" t="str">
        <f>SUM(D594:D602)</f>
        <v>0</v>
      </c>
      <c r="E603" s="13" t="str">
        <f>SUM(E594:E602)</f>
        <v>0</v>
      </c>
      <c r="F603" s="13" t="str">
        <f>SUM(F594:F602)</f>
        <v>0</v>
      </c>
      <c r="G603" s="13" t="str">
        <f>SUM(G594:G602)</f>
        <v>0</v>
      </c>
      <c r="H603" s="13" t="str">
        <f>SUM(H594:H602)</f>
        <v>0</v>
      </c>
      <c r="I603" s="13" t="str">
        <f>SUM(I594:I602)</f>
        <v>0</v>
      </c>
      <c r="J603" s="13" t="str">
        <f>SUM(J594:J602)</f>
        <v>0</v>
      </c>
      <c r="K603" s="13" t="str">
        <f>SUM(K594:K602)</f>
        <v>0</v>
      </c>
      <c r="L603" s="13" t="str">
        <f>SUM(L594:L602)</f>
        <v>0</v>
      </c>
      <c r="M603" s="13" t="str">
        <f>SUM(M594:M602)</f>
        <v>0</v>
      </c>
      <c r="N603" s="13" t="str">
        <f>SUM(N594:N602)</f>
        <v>0</v>
      </c>
      <c r="O603" s="13" t="str">
        <f>SUM(O594:O602)</f>
        <v>0</v>
      </c>
      <c r="P603" s="13" t="str">
        <f>SUM(P594:P602)</f>
        <v>0</v>
      </c>
      <c r="Q603" s="13" t="str">
        <f>SUM(Q594:Q602)</f>
        <v>0</v>
      </c>
      <c r="R603" s="13" t="str">
        <f>SUM(R594:R602)</f>
        <v>0</v>
      </c>
      <c r="S603" s="13" t="str">
        <f>SUM(S594:S602)</f>
        <v>0</v>
      </c>
      <c r="T603" s="13" t="str">
        <f>SUM(T594:T602)</f>
        <v>0</v>
      </c>
      <c r="U603" s="13" t="str">
        <f>SUM(U594:U602)</f>
        <v>0</v>
      </c>
    </row>
    <row r="604" spans="1:41">
      <c r="A604"/>
      <c r="B604" s="14" t="s">
        <v>149</v>
      </c>
      <c r="C604" s="12" t="s">
        <v>16</v>
      </c>
      <c r="D604" s="5">
        <v>0</v>
      </c>
      <c r="E604" s="6">
        <v>0</v>
      </c>
      <c r="F604" s="7">
        <v>0</v>
      </c>
      <c r="G604" s="9">
        <v>0</v>
      </c>
      <c r="H604" s="10">
        <v>0</v>
      </c>
      <c r="I604" s="11">
        <v>0</v>
      </c>
      <c r="J604" s="5">
        <v>0</v>
      </c>
      <c r="K604" s="6">
        <v>0</v>
      </c>
      <c r="L604" s="7">
        <v>0</v>
      </c>
      <c r="M604" s="9">
        <v>0</v>
      </c>
      <c r="N604" s="10">
        <v>0</v>
      </c>
      <c r="O604" s="11">
        <v>0</v>
      </c>
      <c r="P604" s="5">
        <v>0</v>
      </c>
      <c r="Q604" s="6">
        <v>0</v>
      </c>
      <c r="R604" s="7">
        <v>0</v>
      </c>
      <c r="S604" s="9">
        <v>0</v>
      </c>
      <c r="T604" s="10">
        <v>0</v>
      </c>
      <c r="U604" s="11">
        <v>0</v>
      </c>
    </row>
    <row r="605" spans="1:41">
      <c r="A605"/>
      <c r="B605"/>
      <c r="C605" s="12" t="s">
        <v>17</v>
      </c>
      <c r="D605" s="5">
        <v>3</v>
      </c>
      <c r="E605" s="6">
        <v>95</v>
      </c>
      <c r="F605" s="7">
        <v>82</v>
      </c>
      <c r="G605" s="9">
        <v>2</v>
      </c>
      <c r="H605" s="10">
        <v>47</v>
      </c>
      <c r="I605" s="11">
        <v>35</v>
      </c>
      <c r="J605" s="5">
        <v>1.04</v>
      </c>
      <c r="K605" s="6">
        <v>68.67</v>
      </c>
      <c r="L605" s="7">
        <v>59.12</v>
      </c>
      <c r="M605" s="9">
        <v>0.91</v>
      </c>
      <c r="N605" s="10">
        <v>37.09</v>
      </c>
      <c r="O605" s="11">
        <v>19.44</v>
      </c>
      <c r="P605" s="5">
        <v>3</v>
      </c>
      <c r="Q605" s="6">
        <v>167</v>
      </c>
      <c r="R605" s="7">
        <v>144</v>
      </c>
      <c r="S605" s="9">
        <v>3</v>
      </c>
      <c r="T605" s="10">
        <v>87</v>
      </c>
      <c r="U605" s="11">
        <v>50</v>
      </c>
    </row>
    <row r="606" spans="1:41">
      <c r="A606"/>
      <c r="B606"/>
      <c r="C606" s="12" t="s">
        <v>36</v>
      </c>
      <c r="D606" s="5">
        <v>0</v>
      </c>
      <c r="E606" s="6">
        <v>57</v>
      </c>
      <c r="F606" s="7">
        <v>51</v>
      </c>
      <c r="G606" s="9">
        <v>2</v>
      </c>
      <c r="H606" s="10">
        <v>43</v>
      </c>
      <c r="I606" s="11">
        <v>29</v>
      </c>
      <c r="J606" s="5">
        <v>0</v>
      </c>
      <c r="K606" s="6">
        <v>35.52</v>
      </c>
      <c r="L606" s="7">
        <v>31.69</v>
      </c>
      <c r="M606" s="9">
        <v>1.18</v>
      </c>
      <c r="N606" s="10">
        <v>27.2</v>
      </c>
      <c r="O606" s="11">
        <v>18.35</v>
      </c>
      <c r="P606" s="5">
        <v>0</v>
      </c>
      <c r="Q606" s="6">
        <v>86</v>
      </c>
      <c r="R606" s="7">
        <v>75</v>
      </c>
      <c r="S606" s="9">
        <v>3</v>
      </c>
      <c r="T606" s="10">
        <v>64</v>
      </c>
      <c r="U606" s="11">
        <v>43</v>
      </c>
    </row>
    <row r="607" spans="1:41">
      <c r="A607"/>
      <c r="B607"/>
      <c r="C607" s="12" t="s">
        <v>23</v>
      </c>
      <c r="D607" s="5">
        <v>0</v>
      </c>
      <c r="E607" s="6">
        <v>49</v>
      </c>
      <c r="F607" s="7">
        <v>40</v>
      </c>
      <c r="G607" s="9">
        <v>0</v>
      </c>
      <c r="H607" s="10">
        <v>14</v>
      </c>
      <c r="I607" s="11">
        <v>6</v>
      </c>
      <c r="J607" s="5">
        <v>0</v>
      </c>
      <c r="K607" s="6">
        <v>39.14</v>
      </c>
      <c r="L607" s="7">
        <v>32.75</v>
      </c>
      <c r="M607" s="9">
        <v>0</v>
      </c>
      <c r="N607" s="10">
        <v>10.52</v>
      </c>
      <c r="O607" s="11">
        <v>3.88</v>
      </c>
      <c r="P607" s="5">
        <v>0</v>
      </c>
      <c r="Q607" s="6">
        <v>87</v>
      </c>
      <c r="R607" s="7">
        <v>78</v>
      </c>
      <c r="S607" s="9">
        <v>0</v>
      </c>
      <c r="T607" s="10">
        <v>25</v>
      </c>
      <c r="U607" s="11">
        <v>10</v>
      </c>
    </row>
    <row r="608" spans="1:41">
      <c r="A608"/>
      <c r="B608"/>
      <c r="C608" s="12" t="s">
        <v>35</v>
      </c>
      <c r="D608" s="5">
        <v>2</v>
      </c>
      <c r="E608" s="6">
        <v>59</v>
      </c>
      <c r="F608" s="7">
        <v>37</v>
      </c>
      <c r="G608" s="9">
        <v>0</v>
      </c>
      <c r="H608" s="10">
        <v>12</v>
      </c>
      <c r="I608" s="11">
        <v>17</v>
      </c>
      <c r="J608" s="5">
        <v>1.95</v>
      </c>
      <c r="K608" s="6">
        <v>43.56</v>
      </c>
      <c r="L608" s="7">
        <v>27.65</v>
      </c>
      <c r="M608" s="9">
        <v>0</v>
      </c>
      <c r="N608" s="10">
        <v>6.31</v>
      </c>
      <c r="O608" s="11">
        <v>13.27</v>
      </c>
      <c r="P608" s="5">
        <v>5</v>
      </c>
      <c r="Q608" s="6">
        <v>100</v>
      </c>
      <c r="R608" s="7">
        <v>64</v>
      </c>
      <c r="S608" s="9">
        <v>0</v>
      </c>
      <c r="T608" s="10">
        <v>16</v>
      </c>
      <c r="U608" s="11">
        <v>30</v>
      </c>
    </row>
    <row r="609" spans="1:41">
      <c r="C609" s="13" t="s">
        <v>26</v>
      </c>
      <c r="D609" s="13" t="str">
        <f>SUM(D604:D608)</f>
        <v>0</v>
      </c>
      <c r="E609" s="13" t="str">
        <f>SUM(E604:E608)</f>
        <v>0</v>
      </c>
      <c r="F609" s="13" t="str">
        <f>SUM(F604:F608)</f>
        <v>0</v>
      </c>
      <c r="G609" s="13" t="str">
        <f>SUM(G604:G608)</f>
        <v>0</v>
      </c>
      <c r="H609" s="13" t="str">
        <f>SUM(H604:H608)</f>
        <v>0</v>
      </c>
      <c r="I609" s="13" t="str">
        <f>SUM(I604:I608)</f>
        <v>0</v>
      </c>
      <c r="J609" s="13" t="str">
        <f>SUM(J604:J608)</f>
        <v>0</v>
      </c>
      <c r="K609" s="13" t="str">
        <f>SUM(K604:K608)</f>
        <v>0</v>
      </c>
      <c r="L609" s="13" t="str">
        <f>SUM(L604:L608)</f>
        <v>0</v>
      </c>
      <c r="M609" s="13" t="str">
        <f>SUM(M604:M608)</f>
        <v>0</v>
      </c>
      <c r="N609" s="13" t="str">
        <f>SUM(N604:N608)</f>
        <v>0</v>
      </c>
      <c r="O609" s="13" t="str">
        <f>SUM(O604:O608)</f>
        <v>0</v>
      </c>
      <c r="P609" s="13" t="str">
        <f>SUM(P604:P608)</f>
        <v>0</v>
      </c>
      <c r="Q609" s="13" t="str">
        <f>SUM(Q604:Q608)</f>
        <v>0</v>
      </c>
      <c r="R609" s="13" t="str">
        <f>SUM(R604:R608)</f>
        <v>0</v>
      </c>
      <c r="S609" s="13" t="str">
        <f>SUM(S604:S608)</f>
        <v>0</v>
      </c>
      <c r="T609" s="13" t="str">
        <f>SUM(T604:T608)</f>
        <v>0</v>
      </c>
      <c r="U609" s="13" t="str">
        <f>SUM(U604:U608)</f>
        <v>0</v>
      </c>
    </row>
    <row r="610" spans="1:41">
      <c r="A610" s="9" t="s">
        <v>150</v>
      </c>
      <c r="B610" s="11" t="s">
        <v>151</v>
      </c>
      <c r="C610" s="12" t="s">
        <v>30</v>
      </c>
      <c r="D610" s="5">
        <v>2</v>
      </c>
      <c r="E610" s="6">
        <v>51</v>
      </c>
      <c r="F610" s="7">
        <v>59</v>
      </c>
      <c r="G610" s="9">
        <v>0</v>
      </c>
      <c r="H610" s="10">
        <v>15</v>
      </c>
      <c r="I610" s="11">
        <v>26</v>
      </c>
      <c r="J610" s="5">
        <v>0.73</v>
      </c>
      <c r="K610" s="6">
        <v>22.57</v>
      </c>
      <c r="L610" s="7">
        <v>27.04</v>
      </c>
      <c r="M610" s="9">
        <v>0</v>
      </c>
      <c r="N610" s="10">
        <v>3.88</v>
      </c>
      <c r="O610" s="11">
        <v>9.72</v>
      </c>
      <c r="P610" s="5">
        <v>2</v>
      </c>
      <c r="Q610" s="6">
        <v>70</v>
      </c>
      <c r="R610" s="7">
        <v>79</v>
      </c>
      <c r="S610" s="9">
        <v>0</v>
      </c>
      <c r="T610" s="10">
        <v>17</v>
      </c>
      <c r="U610" s="11">
        <v>32</v>
      </c>
    </row>
    <row r="611" spans="1:41">
      <c r="A611"/>
      <c r="B611"/>
      <c r="C611" s="12" t="s">
        <v>16</v>
      </c>
      <c r="D611" s="5">
        <v>1</v>
      </c>
      <c r="E611" s="6">
        <v>156</v>
      </c>
      <c r="F611" s="7">
        <v>152</v>
      </c>
      <c r="G611" s="9">
        <v>2</v>
      </c>
      <c r="H611" s="10">
        <v>65</v>
      </c>
      <c r="I611" s="11">
        <v>90</v>
      </c>
      <c r="J611" s="5">
        <v>0.52</v>
      </c>
      <c r="K611" s="6">
        <v>59.03</v>
      </c>
      <c r="L611" s="7">
        <v>64.79</v>
      </c>
      <c r="M611" s="9">
        <v>0.5</v>
      </c>
      <c r="N611" s="10">
        <v>25.67</v>
      </c>
      <c r="O611" s="11">
        <v>34.96</v>
      </c>
      <c r="P611" s="5">
        <v>2</v>
      </c>
      <c r="Q611" s="6">
        <v>171</v>
      </c>
      <c r="R611" s="7">
        <v>187</v>
      </c>
      <c r="S611" s="9">
        <v>2</v>
      </c>
      <c r="T611" s="10">
        <v>74</v>
      </c>
      <c r="U611" s="11">
        <v>103</v>
      </c>
    </row>
    <row r="612" spans="1:41">
      <c r="A612"/>
      <c r="B612"/>
      <c r="C612" s="12" t="s">
        <v>17</v>
      </c>
      <c r="D612" s="5">
        <v>5</v>
      </c>
      <c r="E612" s="6">
        <v>254</v>
      </c>
      <c r="F612" s="7">
        <v>213</v>
      </c>
      <c r="G612" s="9">
        <v>0</v>
      </c>
      <c r="H612" s="10">
        <v>87</v>
      </c>
      <c r="I612" s="11">
        <v>111</v>
      </c>
      <c r="J612" s="5">
        <v>2.1</v>
      </c>
      <c r="K612" s="6">
        <v>138.8</v>
      </c>
      <c r="L612" s="7">
        <v>118.75</v>
      </c>
      <c r="M612" s="9">
        <v>0</v>
      </c>
      <c r="N612" s="10">
        <v>35.99</v>
      </c>
      <c r="O612" s="11">
        <v>49.17</v>
      </c>
      <c r="P612" s="5">
        <v>6</v>
      </c>
      <c r="Q612" s="6">
        <v>383</v>
      </c>
      <c r="R612" s="7">
        <v>322</v>
      </c>
      <c r="S612" s="9">
        <v>0</v>
      </c>
      <c r="T612" s="10">
        <v>110</v>
      </c>
      <c r="U612" s="11">
        <v>147</v>
      </c>
    </row>
    <row r="613" spans="1:41">
      <c r="A613"/>
      <c r="B613"/>
      <c r="C613" s="12" t="s">
        <v>18</v>
      </c>
      <c r="D613" s="5">
        <v>9</v>
      </c>
      <c r="E613" s="6">
        <v>272</v>
      </c>
      <c r="F613" s="7">
        <v>265</v>
      </c>
      <c r="G613" s="9">
        <v>0</v>
      </c>
      <c r="H613" s="10">
        <v>81</v>
      </c>
      <c r="I613" s="11">
        <v>117</v>
      </c>
      <c r="J613" s="5">
        <v>2.63</v>
      </c>
      <c r="K613" s="6">
        <v>155.73</v>
      </c>
      <c r="L613" s="7">
        <v>154.77</v>
      </c>
      <c r="M613" s="9">
        <v>0</v>
      </c>
      <c r="N613" s="10">
        <v>33.38</v>
      </c>
      <c r="O613" s="11">
        <v>51.36</v>
      </c>
      <c r="P613" s="5">
        <v>9</v>
      </c>
      <c r="Q613" s="6">
        <v>423</v>
      </c>
      <c r="R613" s="7">
        <v>418</v>
      </c>
      <c r="S613" s="9">
        <v>0</v>
      </c>
      <c r="T613" s="10">
        <v>102</v>
      </c>
      <c r="U613" s="11">
        <v>159</v>
      </c>
    </row>
    <row r="614" spans="1:41">
      <c r="A614"/>
      <c r="B614"/>
      <c r="C614" s="12" t="s">
        <v>29</v>
      </c>
      <c r="D614" s="5">
        <v>0</v>
      </c>
      <c r="E614" s="6">
        <v>98</v>
      </c>
      <c r="F614" s="7">
        <v>87</v>
      </c>
      <c r="G614" s="9">
        <v>0</v>
      </c>
      <c r="H614" s="10">
        <v>53</v>
      </c>
      <c r="I614" s="11">
        <v>57</v>
      </c>
      <c r="J614" s="5">
        <v>0</v>
      </c>
      <c r="K614" s="6">
        <v>42.5</v>
      </c>
      <c r="L614" s="7">
        <v>39.33</v>
      </c>
      <c r="M614" s="9">
        <v>0</v>
      </c>
      <c r="N614" s="10">
        <v>19.38</v>
      </c>
      <c r="O614" s="11">
        <v>18.71</v>
      </c>
      <c r="P614" s="5">
        <v>0</v>
      </c>
      <c r="Q614" s="6">
        <v>130</v>
      </c>
      <c r="R614" s="7">
        <v>119</v>
      </c>
      <c r="S614" s="9">
        <v>0</v>
      </c>
      <c r="T614" s="10">
        <v>64</v>
      </c>
      <c r="U614" s="11">
        <v>65</v>
      </c>
    </row>
    <row r="615" spans="1:41">
      <c r="A615"/>
      <c r="B615"/>
      <c r="C615" s="12" t="s">
        <v>22</v>
      </c>
      <c r="D615" s="5">
        <v>0</v>
      </c>
      <c r="E615" s="6">
        <v>107</v>
      </c>
      <c r="F615" s="7">
        <v>109</v>
      </c>
      <c r="G615" s="9">
        <v>3</v>
      </c>
      <c r="H615" s="10">
        <v>58</v>
      </c>
      <c r="I615" s="11">
        <v>53</v>
      </c>
      <c r="J615" s="5">
        <v>0</v>
      </c>
      <c r="K615" s="6">
        <v>48.93</v>
      </c>
      <c r="L615" s="7">
        <v>51.22</v>
      </c>
      <c r="M615" s="9">
        <v>0.86</v>
      </c>
      <c r="N615" s="10">
        <v>26.24</v>
      </c>
      <c r="O615" s="11">
        <v>22.63</v>
      </c>
      <c r="P615" s="5">
        <v>0</v>
      </c>
      <c r="Q615" s="6">
        <v>135</v>
      </c>
      <c r="R615" s="7">
        <v>140</v>
      </c>
      <c r="S615" s="9">
        <v>3</v>
      </c>
      <c r="T615" s="10">
        <v>71</v>
      </c>
      <c r="U615" s="11">
        <v>61</v>
      </c>
    </row>
    <row r="616" spans="1:41">
      <c r="A616"/>
      <c r="B616"/>
      <c r="C616" s="12" t="s">
        <v>39</v>
      </c>
      <c r="D616" s="5">
        <v>3</v>
      </c>
      <c r="E616" s="6">
        <v>99</v>
      </c>
      <c r="F616" s="7">
        <v>92</v>
      </c>
      <c r="G616" s="9">
        <v>3</v>
      </c>
      <c r="H616" s="10">
        <v>39</v>
      </c>
      <c r="I616" s="11">
        <v>41</v>
      </c>
      <c r="J616" s="5">
        <v>1.02</v>
      </c>
      <c r="K616" s="6">
        <v>42.77</v>
      </c>
      <c r="L616" s="7">
        <v>45.29</v>
      </c>
      <c r="M616" s="9">
        <v>2.3</v>
      </c>
      <c r="N616" s="10">
        <v>14.51</v>
      </c>
      <c r="O616" s="11">
        <v>15.96</v>
      </c>
      <c r="P616" s="5">
        <v>3</v>
      </c>
      <c r="Q616" s="6">
        <v>124</v>
      </c>
      <c r="R616" s="7">
        <v>124</v>
      </c>
      <c r="S616" s="9">
        <v>5</v>
      </c>
      <c r="T616" s="10">
        <v>43</v>
      </c>
      <c r="U616" s="11">
        <v>47</v>
      </c>
    </row>
    <row r="617" spans="1:41">
      <c r="A617"/>
      <c r="B617"/>
      <c r="C617" s="12" t="s">
        <v>35</v>
      </c>
      <c r="D617" s="5">
        <v>4</v>
      </c>
      <c r="E617" s="6">
        <v>179</v>
      </c>
      <c r="F617" s="7">
        <v>159</v>
      </c>
      <c r="G617" s="9">
        <v>2</v>
      </c>
      <c r="H617" s="10">
        <v>70</v>
      </c>
      <c r="I617" s="11">
        <v>85</v>
      </c>
      <c r="J617" s="5">
        <v>1.5</v>
      </c>
      <c r="K617" s="6">
        <v>93.85</v>
      </c>
      <c r="L617" s="7">
        <v>79.42</v>
      </c>
      <c r="M617" s="9">
        <v>1.25</v>
      </c>
      <c r="N617" s="10">
        <v>33.3</v>
      </c>
      <c r="O617" s="11">
        <v>44.91</v>
      </c>
      <c r="P617" s="5">
        <v>5</v>
      </c>
      <c r="Q617" s="6">
        <v>255</v>
      </c>
      <c r="R617" s="7">
        <v>226</v>
      </c>
      <c r="S617" s="9">
        <v>3</v>
      </c>
      <c r="T617" s="10">
        <v>92</v>
      </c>
      <c r="U617" s="11">
        <v>123</v>
      </c>
    </row>
    <row r="618" spans="1:41">
      <c r="C618" s="13" t="s">
        <v>26</v>
      </c>
      <c r="D618" s="13" t="str">
        <f>SUM(D610:D617)</f>
        <v>0</v>
      </c>
      <c r="E618" s="13" t="str">
        <f>SUM(E610:E617)</f>
        <v>0</v>
      </c>
      <c r="F618" s="13" t="str">
        <f>SUM(F610:F617)</f>
        <v>0</v>
      </c>
      <c r="G618" s="13" t="str">
        <f>SUM(G610:G617)</f>
        <v>0</v>
      </c>
      <c r="H618" s="13" t="str">
        <f>SUM(H610:H617)</f>
        <v>0</v>
      </c>
      <c r="I618" s="13" t="str">
        <f>SUM(I610:I617)</f>
        <v>0</v>
      </c>
      <c r="J618" s="13" t="str">
        <f>SUM(J610:J617)</f>
        <v>0</v>
      </c>
      <c r="K618" s="13" t="str">
        <f>SUM(K610:K617)</f>
        <v>0</v>
      </c>
      <c r="L618" s="13" t="str">
        <f>SUM(L610:L617)</f>
        <v>0</v>
      </c>
      <c r="M618" s="13" t="str">
        <f>SUM(M610:M617)</f>
        <v>0</v>
      </c>
      <c r="N618" s="13" t="str">
        <f>SUM(N610:N617)</f>
        <v>0</v>
      </c>
      <c r="O618" s="13" t="str">
        <f>SUM(O610:O617)</f>
        <v>0</v>
      </c>
      <c r="P618" s="13" t="str">
        <f>SUM(P610:P617)</f>
        <v>0</v>
      </c>
      <c r="Q618" s="13" t="str">
        <f>SUM(Q610:Q617)</f>
        <v>0</v>
      </c>
      <c r="R618" s="13" t="str">
        <f>SUM(R610:R617)</f>
        <v>0</v>
      </c>
      <c r="S618" s="13" t="str">
        <f>SUM(S610:S617)</f>
        <v>0</v>
      </c>
      <c r="T618" s="13" t="str">
        <f>SUM(T610:T617)</f>
        <v>0</v>
      </c>
      <c r="U618" s="13" t="str">
        <f>SUM(U610:U617)</f>
        <v>0</v>
      </c>
    </row>
    <row r="619" spans="1:41">
      <c r="A619"/>
      <c r="B619" s="14" t="s">
        <v>152</v>
      </c>
      <c r="C619" s="12" t="s">
        <v>30</v>
      </c>
      <c r="D619" s="5">
        <v>87</v>
      </c>
      <c r="E619" s="6">
        <v>397</v>
      </c>
      <c r="F619" s="7">
        <v>138</v>
      </c>
      <c r="G619" s="9">
        <v>32</v>
      </c>
      <c r="H619" s="10">
        <v>281</v>
      </c>
      <c r="I619" s="11">
        <v>80</v>
      </c>
      <c r="J619" s="5">
        <v>60.2</v>
      </c>
      <c r="K619" s="6">
        <v>463.06</v>
      </c>
      <c r="L619" s="7">
        <v>176.78</v>
      </c>
      <c r="M619" s="9">
        <v>30.4</v>
      </c>
      <c r="N619" s="10">
        <v>346.67</v>
      </c>
      <c r="O619" s="11">
        <v>112.88</v>
      </c>
      <c r="P619" s="5">
        <v>131</v>
      </c>
      <c r="Q619" s="6">
        <v>977</v>
      </c>
      <c r="R619" s="7">
        <v>373</v>
      </c>
      <c r="S619" s="9">
        <v>63</v>
      </c>
      <c r="T619" s="10">
        <v>728</v>
      </c>
      <c r="U619" s="11">
        <v>234</v>
      </c>
    </row>
    <row r="620" spans="1:41">
      <c r="A620"/>
      <c r="B620"/>
      <c r="C620" s="12" t="s">
        <v>16</v>
      </c>
      <c r="D620" s="5">
        <v>33</v>
      </c>
      <c r="E620" s="6">
        <v>158</v>
      </c>
      <c r="F620" s="7">
        <v>64</v>
      </c>
      <c r="G620" s="9">
        <v>8</v>
      </c>
      <c r="H620" s="10">
        <v>117</v>
      </c>
      <c r="I620" s="11">
        <v>29</v>
      </c>
      <c r="J620" s="5">
        <v>30.5</v>
      </c>
      <c r="K620" s="6">
        <v>172.64</v>
      </c>
      <c r="L620" s="7">
        <v>77.25</v>
      </c>
      <c r="M620" s="9">
        <v>6</v>
      </c>
      <c r="N620" s="10">
        <v>143.63</v>
      </c>
      <c r="O620" s="11">
        <v>41.81</v>
      </c>
      <c r="P620" s="5">
        <v>62</v>
      </c>
      <c r="Q620" s="6">
        <v>361</v>
      </c>
      <c r="R620" s="7">
        <v>160</v>
      </c>
      <c r="S620" s="9">
        <v>12</v>
      </c>
      <c r="T620" s="10">
        <v>296</v>
      </c>
      <c r="U620" s="11">
        <v>85</v>
      </c>
    </row>
    <row r="621" spans="1:41">
      <c r="A621"/>
      <c r="B621"/>
      <c r="C621" s="12" t="s">
        <v>17</v>
      </c>
      <c r="D621" s="5">
        <v>58</v>
      </c>
      <c r="E621" s="6">
        <v>350</v>
      </c>
      <c r="F621" s="7">
        <v>105</v>
      </c>
      <c r="G621" s="9">
        <v>21</v>
      </c>
      <c r="H621" s="10">
        <v>207</v>
      </c>
      <c r="I621" s="11">
        <v>71</v>
      </c>
      <c r="J621" s="5">
        <v>58.68</v>
      </c>
      <c r="K621" s="6">
        <v>455.6</v>
      </c>
      <c r="L621" s="7">
        <v>149.17</v>
      </c>
      <c r="M621" s="9">
        <v>24.7</v>
      </c>
      <c r="N621" s="10">
        <v>278.34</v>
      </c>
      <c r="O621" s="11">
        <v>124.5</v>
      </c>
      <c r="P621" s="5">
        <v>125</v>
      </c>
      <c r="Q621" s="6">
        <v>952</v>
      </c>
      <c r="R621" s="7">
        <v>309</v>
      </c>
      <c r="S621" s="9">
        <v>51</v>
      </c>
      <c r="T621" s="10">
        <v>583</v>
      </c>
      <c r="U621" s="11">
        <v>260</v>
      </c>
    </row>
    <row r="622" spans="1:41">
      <c r="A622"/>
      <c r="B622"/>
      <c r="C622" s="12" t="s">
        <v>18</v>
      </c>
      <c r="D622" s="5">
        <v>147</v>
      </c>
      <c r="E622" s="6">
        <v>764</v>
      </c>
      <c r="F622" s="7">
        <v>231</v>
      </c>
      <c r="G622" s="9">
        <v>61</v>
      </c>
      <c r="H622" s="10">
        <v>370</v>
      </c>
      <c r="I622" s="11">
        <v>142</v>
      </c>
      <c r="J622" s="5">
        <v>115.22</v>
      </c>
      <c r="K622" s="6">
        <v>878.48</v>
      </c>
      <c r="L622" s="7">
        <v>313.03</v>
      </c>
      <c r="M622" s="9">
        <v>63.45</v>
      </c>
      <c r="N622" s="10">
        <v>494.9</v>
      </c>
      <c r="O622" s="11">
        <v>188.86</v>
      </c>
      <c r="P622" s="5">
        <v>243</v>
      </c>
      <c r="Q622" s="6">
        <v>1843</v>
      </c>
      <c r="R622" s="7">
        <v>659</v>
      </c>
      <c r="S622" s="9">
        <v>134</v>
      </c>
      <c r="T622" s="10">
        <v>1031</v>
      </c>
      <c r="U622" s="11">
        <v>406</v>
      </c>
    </row>
    <row r="623" spans="1:41">
      <c r="A623"/>
      <c r="B623"/>
      <c r="C623" s="12" t="s">
        <v>29</v>
      </c>
      <c r="D623" s="5">
        <v>40</v>
      </c>
      <c r="E623" s="6">
        <v>199</v>
      </c>
      <c r="F623" s="7">
        <v>50</v>
      </c>
      <c r="G623" s="9">
        <v>19</v>
      </c>
      <c r="H623" s="10">
        <v>97</v>
      </c>
      <c r="I623" s="11">
        <v>35</v>
      </c>
      <c r="J623" s="5">
        <v>38.3</v>
      </c>
      <c r="K623" s="6">
        <v>242.35</v>
      </c>
      <c r="L623" s="7">
        <v>80.28</v>
      </c>
      <c r="M623" s="9">
        <v>23.5</v>
      </c>
      <c r="N623" s="10">
        <v>130.55</v>
      </c>
      <c r="O623" s="11">
        <v>52.15</v>
      </c>
      <c r="P623" s="5">
        <v>77</v>
      </c>
      <c r="Q623" s="6">
        <v>495</v>
      </c>
      <c r="R623" s="7">
        <v>163</v>
      </c>
      <c r="S623" s="9">
        <v>47</v>
      </c>
      <c r="T623" s="10">
        <v>270</v>
      </c>
      <c r="U623" s="11">
        <v>107</v>
      </c>
    </row>
    <row r="624" spans="1:41">
      <c r="A624"/>
      <c r="B624"/>
      <c r="C624" s="12" t="s">
        <v>20</v>
      </c>
      <c r="D624" s="5">
        <v>21</v>
      </c>
      <c r="E624" s="6">
        <v>265</v>
      </c>
      <c r="F624" s="7">
        <v>118</v>
      </c>
      <c r="G624" s="9">
        <v>11</v>
      </c>
      <c r="H624" s="10">
        <v>170</v>
      </c>
      <c r="I624" s="11">
        <v>89</v>
      </c>
      <c r="J624" s="5">
        <v>36.3</v>
      </c>
      <c r="K624" s="6">
        <v>404.05</v>
      </c>
      <c r="L624" s="7">
        <v>185.87</v>
      </c>
      <c r="M624" s="9">
        <v>22.3</v>
      </c>
      <c r="N624" s="10">
        <v>246.16</v>
      </c>
      <c r="O624" s="11">
        <v>137.4</v>
      </c>
      <c r="P624" s="5">
        <v>74</v>
      </c>
      <c r="Q624" s="6">
        <v>847</v>
      </c>
      <c r="R624" s="7">
        <v>382</v>
      </c>
      <c r="S624" s="9">
        <v>45</v>
      </c>
      <c r="T624" s="10">
        <v>516</v>
      </c>
      <c r="U624" s="11">
        <v>287</v>
      </c>
    </row>
    <row r="625" spans="1:41">
      <c r="A625"/>
      <c r="B625"/>
      <c r="C625" s="12" t="s">
        <v>36</v>
      </c>
      <c r="D625" s="5">
        <v>3</v>
      </c>
      <c r="E625" s="6">
        <v>33</v>
      </c>
      <c r="F625" s="7">
        <v>16</v>
      </c>
      <c r="G625" s="9">
        <v>2</v>
      </c>
      <c r="H625" s="10">
        <v>17</v>
      </c>
      <c r="I625" s="11">
        <v>14</v>
      </c>
      <c r="J625" s="5">
        <v>4</v>
      </c>
      <c r="K625" s="6">
        <v>44.7</v>
      </c>
      <c r="L625" s="7">
        <v>18.6</v>
      </c>
      <c r="M625" s="9">
        <v>3</v>
      </c>
      <c r="N625" s="10">
        <v>22.6</v>
      </c>
      <c r="O625" s="11">
        <v>23</v>
      </c>
      <c r="P625" s="5">
        <v>8</v>
      </c>
      <c r="Q625" s="6">
        <v>92</v>
      </c>
      <c r="R625" s="7">
        <v>40</v>
      </c>
      <c r="S625" s="9">
        <v>6</v>
      </c>
      <c r="T625" s="10">
        <v>49</v>
      </c>
      <c r="U625" s="11">
        <v>48</v>
      </c>
    </row>
    <row r="626" spans="1:41">
      <c r="A626"/>
      <c r="B626"/>
      <c r="C626" s="12" t="s">
        <v>22</v>
      </c>
      <c r="D626" s="5">
        <v>77</v>
      </c>
      <c r="E626" s="6">
        <v>463</v>
      </c>
      <c r="F626" s="7">
        <v>144</v>
      </c>
      <c r="G626" s="9">
        <v>25</v>
      </c>
      <c r="H626" s="10">
        <v>267</v>
      </c>
      <c r="I626" s="11">
        <v>123</v>
      </c>
      <c r="J626" s="5">
        <v>72.77</v>
      </c>
      <c r="K626" s="6">
        <v>615.95</v>
      </c>
      <c r="L626" s="7">
        <v>207</v>
      </c>
      <c r="M626" s="9">
        <v>36.3</v>
      </c>
      <c r="N626" s="10">
        <v>387.04</v>
      </c>
      <c r="O626" s="11">
        <v>157.39</v>
      </c>
      <c r="P626" s="5">
        <v>157</v>
      </c>
      <c r="Q626" s="6">
        <v>1287</v>
      </c>
      <c r="R626" s="7">
        <v>425</v>
      </c>
      <c r="S626" s="9">
        <v>74</v>
      </c>
      <c r="T626" s="10">
        <v>796</v>
      </c>
      <c r="U626" s="11">
        <v>328</v>
      </c>
    </row>
    <row r="627" spans="1:41">
      <c r="A627"/>
      <c r="B627"/>
      <c r="C627" s="12" t="s">
        <v>39</v>
      </c>
      <c r="D627" s="5">
        <v>0</v>
      </c>
      <c r="E627" s="6">
        <v>0</v>
      </c>
      <c r="F627" s="7">
        <v>0</v>
      </c>
      <c r="G627" s="9">
        <v>0</v>
      </c>
      <c r="H627" s="10">
        <v>0</v>
      </c>
      <c r="I627" s="11">
        <v>0</v>
      </c>
      <c r="J627" s="5">
        <v>0</v>
      </c>
      <c r="K627" s="6">
        <v>0</v>
      </c>
      <c r="L627" s="7">
        <v>0</v>
      </c>
      <c r="M627" s="9">
        <v>0</v>
      </c>
      <c r="N627" s="10">
        <v>0</v>
      </c>
      <c r="O627" s="11">
        <v>0</v>
      </c>
      <c r="P627" s="5">
        <v>0</v>
      </c>
      <c r="Q627" s="6">
        <v>0</v>
      </c>
      <c r="R627" s="7">
        <v>0</v>
      </c>
      <c r="S627" s="9">
        <v>0</v>
      </c>
      <c r="T627" s="10">
        <v>0</v>
      </c>
      <c r="U627" s="11">
        <v>0</v>
      </c>
    </row>
    <row r="628" spans="1:41">
      <c r="A628"/>
      <c r="B628"/>
      <c r="C628" s="12" t="s">
        <v>35</v>
      </c>
      <c r="D628" s="5">
        <v>134</v>
      </c>
      <c r="E628" s="6">
        <v>638</v>
      </c>
      <c r="F628" s="7">
        <v>208</v>
      </c>
      <c r="G628" s="9">
        <v>58</v>
      </c>
      <c r="H628" s="10">
        <v>341</v>
      </c>
      <c r="I628" s="11">
        <v>114</v>
      </c>
      <c r="J628" s="5">
        <v>133.28</v>
      </c>
      <c r="K628" s="6">
        <v>702.11</v>
      </c>
      <c r="L628" s="7">
        <v>293.23</v>
      </c>
      <c r="M628" s="9">
        <v>50.5</v>
      </c>
      <c r="N628" s="10">
        <v>427.98</v>
      </c>
      <c r="O628" s="11">
        <v>162.24</v>
      </c>
      <c r="P628" s="5">
        <v>288</v>
      </c>
      <c r="Q628" s="6">
        <v>1512</v>
      </c>
      <c r="R628" s="7">
        <v>620</v>
      </c>
      <c r="S628" s="9">
        <v>111</v>
      </c>
      <c r="T628" s="10">
        <v>907</v>
      </c>
      <c r="U628" s="11">
        <v>341</v>
      </c>
    </row>
    <row r="629" spans="1:41">
      <c r="A629"/>
      <c r="B629"/>
      <c r="C629" s="12" t="s">
        <v>49</v>
      </c>
      <c r="D629" s="5">
        <v>0</v>
      </c>
      <c r="E629" s="6">
        <v>0</v>
      </c>
      <c r="F629" s="7">
        <v>0</v>
      </c>
      <c r="G629" s="9">
        <v>0</v>
      </c>
      <c r="H629" s="10">
        <v>0</v>
      </c>
      <c r="I629" s="11">
        <v>0</v>
      </c>
      <c r="J629" s="5">
        <v>0</v>
      </c>
      <c r="K629" s="6">
        <v>0</v>
      </c>
      <c r="L629" s="7">
        <v>0</v>
      </c>
      <c r="M629" s="9">
        <v>0</v>
      </c>
      <c r="N629" s="10">
        <v>0</v>
      </c>
      <c r="O629" s="11">
        <v>0</v>
      </c>
      <c r="P629" s="5">
        <v>0</v>
      </c>
      <c r="Q629" s="6">
        <v>0</v>
      </c>
      <c r="R629" s="7">
        <v>0</v>
      </c>
      <c r="S629" s="9">
        <v>0</v>
      </c>
      <c r="T629" s="10">
        <v>0</v>
      </c>
      <c r="U629" s="11">
        <v>0</v>
      </c>
    </row>
    <row r="630" spans="1:41">
      <c r="C630" s="13" t="s">
        <v>26</v>
      </c>
      <c r="D630" s="13" t="str">
        <f>SUM(D619:D629)</f>
        <v>0</v>
      </c>
      <c r="E630" s="13" t="str">
        <f>SUM(E619:E629)</f>
        <v>0</v>
      </c>
      <c r="F630" s="13" t="str">
        <f>SUM(F619:F629)</f>
        <v>0</v>
      </c>
      <c r="G630" s="13" t="str">
        <f>SUM(G619:G629)</f>
        <v>0</v>
      </c>
      <c r="H630" s="13" t="str">
        <f>SUM(H619:H629)</f>
        <v>0</v>
      </c>
      <c r="I630" s="13" t="str">
        <f>SUM(I619:I629)</f>
        <v>0</v>
      </c>
      <c r="J630" s="13" t="str">
        <f>SUM(J619:J629)</f>
        <v>0</v>
      </c>
      <c r="K630" s="13" t="str">
        <f>SUM(K619:K629)</f>
        <v>0</v>
      </c>
      <c r="L630" s="13" t="str">
        <f>SUM(L619:L629)</f>
        <v>0</v>
      </c>
      <c r="M630" s="13" t="str">
        <f>SUM(M619:M629)</f>
        <v>0</v>
      </c>
      <c r="N630" s="13" t="str">
        <f>SUM(N619:N629)</f>
        <v>0</v>
      </c>
      <c r="O630" s="13" t="str">
        <f>SUM(O619:O629)</f>
        <v>0</v>
      </c>
      <c r="P630" s="13" t="str">
        <f>SUM(P619:P629)</f>
        <v>0</v>
      </c>
      <c r="Q630" s="13" t="str">
        <f>SUM(Q619:Q629)</f>
        <v>0</v>
      </c>
      <c r="R630" s="13" t="str">
        <f>SUM(R619:R629)</f>
        <v>0</v>
      </c>
      <c r="S630" s="13" t="str">
        <f>SUM(S619:S629)</f>
        <v>0</v>
      </c>
      <c r="T630" s="13" t="str">
        <f>SUM(T619:T629)</f>
        <v>0</v>
      </c>
      <c r="U630" s="13" t="str">
        <f>SUM(U619:U629)</f>
        <v>0</v>
      </c>
    </row>
    <row r="631" spans="1:41">
      <c r="A631"/>
      <c r="B631" s="14" t="s">
        <v>153</v>
      </c>
      <c r="C631" s="12" t="s">
        <v>30</v>
      </c>
      <c r="D631" s="5">
        <v>12</v>
      </c>
      <c r="E631" s="6">
        <v>276</v>
      </c>
      <c r="F631" s="7">
        <v>146</v>
      </c>
      <c r="G631" s="9">
        <v>8</v>
      </c>
      <c r="H631" s="10">
        <v>143</v>
      </c>
      <c r="I631" s="11">
        <v>95</v>
      </c>
      <c r="J631" s="5">
        <v>9.35</v>
      </c>
      <c r="K631" s="6">
        <v>282.98</v>
      </c>
      <c r="L631" s="7">
        <v>147.87</v>
      </c>
      <c r="M631" s="9">
        <v>5.1</v>
      </c>
      <c r="N631" s="10">
        <v>138.93</v>
      </c>
      <c r="O631" s="11">
        <v>94.41</v>
      </c>
      <c r="P631" s="5">
        <v>22</v>
      </c>
      <c r="Q631" s="6">
        <v>621</v>
      </c>
      <c r="R631" s="7">
        <v>321</v>
      </c>
      <c r="S631" s="9">
        <v>11</v>
      </c>
      <c r="T631" s="10">
        <v>309</v>
      </c>
      <c r="U631" s="11">
        <v>209</v>
      </c>
    </row>
    <row r="632" spans="1:41">
      <c r="A632"/>
      <c r="B632"/>
      <c r="C632" s="12" t="s">
        <v>16</v>
      </c>
      <c r="D632" s="5">
        <v>23</v>
      </c>
      <c r="E632" s="6">
        <v>115</v>
      </c>
      <c r="F632" s="7">
        <v>20</v>
      </c>
      <c r="G632" s="9">
        <v>15</v>
      </c>
      <c r="H632" s="10">
        <v>84</v>
      </c>
      <c r="I632" s="11">
        <v>20</v>
      </c>
      <c r="J632" s="5">
        <v>17.8</v>
      </c>
      <c r="K632" s="6">
        <v>100.65</v>
      </c>
      <c r="L632" s="7">
        <v>17.55</v>
      </c>
      <c r="M632" s="9">
        <v>11.8</v>
      </c>
      <c r="N632" s="10">
        <v>77.2</v>
      </c>
      <c r="O632" s="11">
        <v>19.1</v>
      </c>
      <c r="P632" s="5">
        <v>38</v>
      </c>
      <c r="Q632" s="6">
        <v>215</v>
      </c>
      <c r="R632" s="7">
        <v>37</v>
      </c>
      <c r="S632" s="9">
        <v>26</v>
      </c>
      <c r="T632" s="10">
        <v>161</v>
      </c>
      <c r="U632" s="11">
        <v>41</v>
      </c>
    </row>
    <row r="633" spans="1:41">
      <c r="A633"/>
      <c r="B633"/>
      <c r="C633" s="12" t="s">
        <v>17</v>
      </c>
      <c r="D633" s="5">
        <v>44</v>
      </c>
      <c r="E633" s="6">
        <v>1021</v>
      </c>
      <c r="F633" s="7">
        <v>598</v>
      </c>
      <c r="G633" s="9">
        <v>24</v>
      </c>
      <c r="H633" s="10">
        <v>415</v>
      </c>
      <c r="I633" s="11">
        <v>312</v>
      </c>
      <c r="J633" s="5">
        <v>56.36</v>
      </c>
      <c r="K633" s="6">
        <v>1643.09</v>
      </c>
      <c r="L633" s="7">
        <v>903.94</v>
      </c>
      <c r="M633" s="9">
        <v>43</v>
      </c>
      <c r="N633" s="10">
        <v>556.13</v>
      </c>
      <c r="O633" s="11">
        <v>401.52</v>
      </c>
      <c r="P633" s="5">
        <v>118</v>
      </c>
      <c r="Q633" s="6">
        <v>3404</v>
      </c>
      <c r="R633" s="7">
        <v>1871</v>
      </c>
      <c r="S633" s="9">
        <v>89</v>
      </c>
      <c r="T633" s="10">
        <v>1170</v>
      </c>
      <c r="U633" s="11">
        <v>843</v>
      </c>
    </row>
    <row r="634" spans="1:41">
      <c r="A634"/>
      <c r="B634"/>
      <c r="C634" s="12" t="s">
        <v>18</v>
      </c>
      <c r="D634" s="5">
        <v>15</v>
      </c>
      <c r="E634" s="6">
        <v>297</v>
      </c>
      <c r="F634" s="7">
        <v>163</v>
      </c>
      <c r="G634" s="9">
        <v>7</v>
      </c>
      <c r="H634" s="10">
        <v>129</v>
      </c>
      <c r="I634" s="11">
        <v>116</v>
      </c>
      <c r="J634" s="5">
        <v>12.95</v>
      </c>
      <c r="K634" s="6">
        <v>340.19</v>
      </c>
      <c r="L634" s="7">
        <v>257.34</v>
      </c>
      <c r="M634" s="9">
        <v>4.6</v>
      </c>
      <c r="N634" s="10">
        <v>138.26</v>
      </c>
      <c r="O634" s="11">
        <v>131.64</v>
      </c>
      <c r="P634" s="5">
        <v>29</v>
      </c>
      <c r="Q634" s="6">
        <v>745</v>
      </c>
      <c r="R634" s="7">
        <v>547</v>
      </c>
      <c r="S634" s="9">
        <v>10</v>
      </c>
      <c r="T634" s="10">
        <v>304</v>
      </c>
      <c r="U634" s="11">
        <v>287</v>
      </c>
    </row>
    <row r="635" spans="1:41">
      <c r="A635"/>
      <c r="B635"/>
      <c r="C635" s="12" t="s">
        <v>29</v>
      </c>
      <c r="D635" s="5">
        <v>60</v>
      </c>
      <c r="E635" s="6">
        <v>2001</v>
      </c>
      <c r="F635" s="7">
        <v>955</v>
      </c>
      <c r="G635" s="9">
        <v>36</v>
      </c>
      <c r="H635" s="10">
        <v>836</v>
      </c>
      <c r="I635" s="11">
        <v>558</v>
      </c>
      <c r="J635" s="5">
        <v>139.37</v>
      </c>
      <c r="K635" s="6">
        <v>3895.17</v>
      </c>
      <c r="L635" s="7">
        <v>1723.53</v>
      </c>
      <c r="M635" s="9">
        <v>69.4</v>
      </c>
      <c r="N635" s="10">
        <v>1412.34</v>
      </c>
      <c r="O635" s="11">
        <v>828.04</v>
      </c>
      <c r="P635" s="5">
        <v>283</v>
      </c>
      <c r="Q635" s="6">
        <v>7993</v>
      </c>
      <c r="R635" s="7">
        <v>3564</v>
      </c>
      <c r="S635" s="9">
        <v>139</v>
      </c>
      <c r="T635" s="10">
        <v>2923</v>
      </c>
      <c r="U635" s="11">
        <v>1733</v>
      </c>
    </row>
    <row r="636" spans="1:41">
      <c r="A636"/>
      <c r="B636"/>
      <c r="C636" s="12" t="s">
        <v>36</v>
      </c>
      <c r="D636" s="5">
        <v>27</v>
      </c>
      <c r="E636" s="6">
        <v>245</v>
      </c>
      <c r="F636" s="7">
        <v>105</v>
      </c>
      <c r="G636" s="9">
        <v>9</v>
      </c>
      <c r="H636" s="10">
        <v>139</v>
      </c>
      <c r="I636" s="11">
        <v>72</v>
      </c>
      <c r="J636" s="5">
        <v>20.77</v>
      </c>
      <c r="K636" s="6">
        <v>244.94</v>
      </c>
      <c r="L636" s="7">
        <v>116.49</v>
      </c>
      <c r="M636" s="9">
        <v>5.5</v>
      </c>
      <c r="N636" s="10">
        <v>131.6</v>
      </c>
      <c r="O636" s="11">
        <v>63.47</v>
      </c>
      <c r="P636" s="5">
        <v>45</v>
      </c>
      <c r="Q636" s="6">
        <v>519</v>
      </c>
      <c r="R636" s="7">
        <v>243</v>
      </c>
      <c r="S636" s="9">
        <v>12</v>
      </c>
      <c r="T636" s="10">
        <v>276</v>
      </c>
      <c r="U636" s="11">
        <v>136</v>
      </c>
    </row>
    <row r="637" spans="1:41">
      <c r="A637"/>
      <c r="B637"/>
      <c r="C637" s="12" t="s">
        <v>22</v>
      </c>
      <c r="D637" s="5">
        <v>17</v>
      </c>
      <c r="E637" s="6">
        <v>276</v>
      </c>
      <c r="F637" s="7">
        <v>213</v>
      </c>
      <c r="G637" s="9">
        <v>9</v>
      </c>
      <c r="H637" s="10">
        <v>162</v>
      </c>
      <c r="I637" s="11">
        <v>109</v>
      </c>
      <c r="J637" s="5">
        <v>17.58</v>
      </c>
      <c r="K637" s="6">
        <v>298.32</v>
      </c>
      <c r="L637" s="7">
        <v>238.77</v>
      </c>
      <c r="M637" s="9">
        <v>7.5</v>
      </c>
      <c r="N637" s="10">
        <v>157.2</v>
      </c>
      <c r="O637" s="11">
        <v>120.73</v>
      </c>
      <c r="P637" s="5">
        <v>40</v>
      </c>
      <c r="Q637" s="6">
        <v>644</v>
      </c>
      <c r="R637" s="7">
        <v>511</v>
      </c>
      <c r="S637" s="9">
        <v>17</v>
      </c>
      <c r="T637" s="10">
        <v>344</v>
      </c>
      <c r="U637" s="11">
        <v>259</v>
      </c>
    </row>
    <row r="638" spans="1:41">
      <c r="A638"/>
      <c r="B638"/>
      <c r="C638" s="12" t="s">
        <v>39</v>
      </c>
      <c r="D638" s="5">
        <v>5</v>
      </c>
      <c r="E638" s="6">
        <v>46</v>
      </c>
      <c r="F638" s="7">
        <v>18</v>
      </c>
      <c r="G638" s="9">
        <v>1</v>
      </c>
      <c r="H638" s="10">
        <v>24</v>
      </c>
      <c r="I638" s="11">
        <v>8</v>
      </c>
      <c r="J638" s="5">
        <v>5</v>
      </c>
      <c r="K638" s="6">
        <v>70.1</v>
      </c>
      <c r="L638" s="7">
        <v>35.05</v>
      </c>
      <c r="M638" s="9">
        <v>1</v>
      </c>
      <c r="N638" s="10">
        <v>30.65</v>
      </c>
      <c r="O638" s="11">
        <v>12.28</v>
      </c>
      <c r="P638" s="5">
        <v>10</v>
      </c>
      <c r="Q638" s="6">
        <v>143</v>
      </c>
      <c r="R638" s="7">
        <v>72</v>
      </c>
      <c r="S638" s="9">
        <v>2</v>
      </c>
      <c r="T638" s="10">
        <v>63</v>
      </c>
      <c r="U638" s="11">
        <v>26</v>
      </c>
    </row>
    <row r="639" spans="1:41">
      <c r="A639"/>
      <c r="B639"/>
      <c r="C639" s="12" t="s">
        <v>35</v>
      </c>
      <c r="D639" s="5">
        <v>60</v>
      </c>
      <c r="E639" s="6">
        <v>1153</v>
      </c>
      <c r="F639" s="7">
        <v>543</v>
      </c>
      <c r="G639" s="9">
        <v>21</v>
      </c>
      <c r="H639" s="10">
        <v>579</v>
      </c>
      <c r="I639" s="11">
        <v>409</v>
      </c>
      <c r="J639" s="5">
        <v>111.67</v>
      </c>
      <c r="K639" s="6">
        <v>1955.87</v>
      </c>
      <c r="L639" s="7">
        <v>932.04</v>
      </c>
      <c r="M639" s="9">
        <v>31.48</v>
      </c>
      <c r="N639" s="10">
        <v>872.68</v>
      </c>
      <c r="O639" s="11">
        <v>667.33</v>
      </c>
      <c r="P639" s="5">
        <v>227</v>
      </c>
      <c r="Q639" s="6">
        <v>4047</v>
      </c>
      <c r="R639" s="7">
        <v>1929</v>
      </c>
      <c r="S639" s="9">
        <v>65</v>
      </c>
      <c r="T639" s="10">
        <v>1826</v>
      </c>
      <c r="U639" s="11">
        <v>1395</v>
      </c>
    </row>
    <row r="640" spans="1:41">
      <c r="C640" s="13" t="s">
        <v>26</v>
      </c>
      <c r="D640" s="13" t="str">
        <f>SUM(D631:D639)</f>
        <v>0</v>
      </c>
      <c r="E640" s="13" t="str">
        <f>SUM(E631:E639)</f>
        <v>0</v>
      </c>
      <c r="F640" s="13" t="str">
        <f>SUM(F631:F639)</f>
        <v>0</v>
      </c>
      <c r="G640" s="13" t="str">
        <f>SUM(G631:G639)</f>
        <v>0</v>
      </c>
      <c r="H640" s="13" t="str">
        <f>SUM(H631:H639)</f>
        <v>0</v>
      </c>
      <c r="I640" s="13" t="str">
        <f>SUM(I631:I639)</f>
        <v>0</v>
      </c>
      <c r="J640" s="13" t="str">
        <f>SUM(J631:J639)</f>
        <v>0</v>
      </c>
      <c r="K640" s="13" t="str">
        <f>SUM(K631:K639)</f>
        <v>0</v>
      </c>
      <c r="L640" s="13" t="str">
        <f>SUM(L631:L639)</f>
        <v>0</v>
      </c>
      <c r="M640" s="13" t="str">
        <f>SUM(M631:M639)</f>
        <v>0</v>
      </c>
      <c r="N640" s="13" t="str">
        <f>SUM(N631:N639)</f>
        <v>0</v>
      </c>
      <c r="O640" s="13" t="str">
        <f>SUM(O631:O639)</f>
        <v>0</v>
      </c>
      <c r="P640" s="13" t="str">
        <f>SUM(P631:P639)</f>
        <v>0</v>
      </c>
      <c r="Q640" s="13" t="str">
        <f>SUM(Q631:Q639)</f>
        <v>0</v>
      </c>
      <c r="R640" s="13" t="str">
        <f>SUM(R631:R639)</f>
        <v>0</v>
      </c>
      <c r="S640" s="13" t="str">
        <f>SUM(S631:S639)</f>
        <v>0</v>
      </c>
      <c r="T640" s="13" t="str">
        <f>SUM(T631:T639)</f>
        <v>0</v>
      </c>
      <c r="U640" s="13" t="str">
        <f>SUM(U631:U639)</f>
        <v>0</v>
      </c>
    </row>
    <row r="641" spans="1:41">
      <c r="A641"/>
      <c r="B641" s="14" t="s">
        <v>154</v>
      </c>
      <c r="C641" s="12" t="s">
        <v>30</v>
      </c>
      <c r="D641" s="5">
        <v>43</v>
      </c>
      <c r="E641" s="6">
        <v>559</v>
      </c>
      <c r="F641" s="7">
        <v>254</v>
      </c>
      <c r="G641" s="9">
        <v>19</v>
      </c>
      <c r="H641" s="10">
        <v>396</v>
      </c>
      <c r="I641" s="11">
        <v>186</v>
      </c>
      <c r="J641" s="5">
        <v>43.72</v>
      </c>
      <c r="K641" s="6">
        <v>628.34</v>
      </c>
      <c r="L641" s="7">
        <v>307.45</v>
      </c>
      <c r="M641" s="9">
        <v>17.15</v>
      </c>
      <c r="N641" s="10">
        <v>426.02</v>
      </c>
      <c r="O641" s="11">
        <v>223.22</v>
      </c>
      <c r="P641" s="5">
        <v>91</v>
      </c>
      <c r="Q641" s="6">
        <v>1311</v>
      </c>
      <c r="R641" s="7">
        <v>643</v>
      </c>
      <c r="S641" s="9">
        <v>37</v>
      </c>
      <c r="T641" s="10">
        <v>903</v>
      </c>
      <c r="U641" s="11">
        <v>470</v>
      </c>
    </row>
    <row r="642" spans="1:41">
      <c r="A642"/>
      <c r="B642"/>
      <c r="C642" s="12" t="s">
        <v>18</v>
      </c>
      <c r="D642" s="5">
        <v>69</v>
      </c>
      <c r="E642" s="6">
        <v>881</v>
      </c>
      <c r="F642" s="7">
        <v>346</v>
      </c>
      <c r="G642" s="9">
        <v>32</v>
      </c>
      <c r="H642" s="10">
        <v>544</v>
      </c>
      <c r="I642" s="11">
        <v>239</v>
      </c>
      <c r="J642" s="5">
        <v>96.56</v>
      </c>
      <c r="K642" s="6">
        <v>1202.13</v>
      </c>
      <c r="L642" s="7">
        <v>582.6</v>
      </c>
      <c r="M642" s="9">
        <v>36.42</v>
      </c>
      <c r="N642" s="10">
        <v>714.79</v>
      </c>
      <c r="O642" s="11">
        <v>325.31</v>
      </c>
      <c r="P642" s="5">
        <v>198</v>
      </c>
      <c r="Q642" s="6">
        <v>2482</v>
      </c>
      <c r="R642" s="7">
        <v>1188</v>
      </c>
      <c r="S642" s="9">
        <v>76</v>
      </c>
      <c r="T642" s="10">
        <v>1484</v>
      </c>
      <c r="U642" s="11">
        <v>671</v>
      </c>
    </row>
    <row r="643" spans="1:41">
      <c r="A643"/>
      <c r="B643"/>
      <c r="C643" s="12" t="s">
        <v>29</v>
      </c>
      <c r="D643" s="5">
        <v>0</v>
      </c>
      <c r="E643" s="6">
        <v>0</v>
      </c>
      <c r="F643" s="7">
        <v>0</v>
      </c>
      <c r="G643" s="9">
        <v>1</v>
      </c>
      <c r="H643" s="10">
        <v>0</v>
      </c>
      <c r="I643" s="11">
        <v>0</v>
      </c>
      <c r="J643" s="5">
        <v>0</v>
      </c>
      <c r="K643" s="6">
        <v>0</v>
      </c>
      <c r="L643" s="7">
        <v>0</v>
      </c>
      <c r="M643" s="9">
        <v>0.5</v>
      </c>
      <c r="N643" s="10">
        <v>0</v>
      </c>
      <c r="O643" s="11">
        <v>0</v>
      </c>
      <c r="P643" s="5">
        <v>0</v>
      </c>
      <c r="Q643" s="6">
        <v>0</v>
      </c>
      <c r="R643" s="7">
        <v>0</v>
      </c>
      <c r="S643" s="9">
        <v>1</v>
      </c>
      <c r="T643" s="10">
        <v>0</v>
      </c>
      <c r="U643" s="11">
        <v>0</v>
      </c>
    </row>
    <row r="644" spans="1:41">
      <c r="A644"/>
      <c r="B644"/>
      <c r="C644" s="12" t="s">
        <v>20</v>
      </c>
      <c r="D644" s="5">
        <v>93</v>
      </c>
      <c r="E644" s="6">
        <v>840</v>
      </c>
      <c r="F644" s="7">
        <v>295</v>
      </c>
      <c r="G644" s="9">
        <v>35</v>
      </c>
      <c r="H644" s="10">
        <v>381</v>
      </c>
      <c r="I644" s="11">
        <v>169</v>
      </c>
      <c r="J644" s="5">
        <v>121.67</v>
      </c>
      <c r="K644" s="6">
        <v>1356.63</v>
      </c>
      <c r="L644" s="7">
        <v>518.78</v>
      </c>
      <c r="M644" s="9">
        <v>54.4</v>
      </c>
      <c r="N644" s="10">
        <v>586.28</v>
      </c>
      <c r="O644" s="11">
        <v>282.15</v>
      </c>
      <c r="P644" s="5">
        <v>250</v>
      </c>
      <c r="Q644" s="6">
        <v>2765</v>
      </c>
      <c r="R644" s="7">
        <v>1061</v>
      </c>
      <c r="S644" s="9">
        <v>111</v>
      </c>
      <c r="T644" s="10">
        <v>1196</v>
      </c>
      <c r="U644" s="11">
        <v>576</v>
      </c>
    </row>
    <row r="645" spans="1:41">
      <c r="A645"/>
      <c r="B645"/>
      <c r="C645" s="12" t="s">
        <v>36</v>
      </c>
      <c r="D645" s="5">
        <v>3</v>
      </c>
      <c r="E645" s="6">
        <v>67</v>
      </c>
      <c r="F645" s="7">
        <v>50</v>
      </c>
      <c r="G645" s="9">
        <v>0</v>
      </c>
      <c r="H645" s="10">
        <v>15</v>
      </c>
      <c r="I645" s="11">
        <v>15</v>
      </c>
      <c r="J645" s="5">
        <v>2.3</v>
      </c>
      <c r="K645" s="6">
        <v>60.2</v>
      </c>
      <c r="L645" s="7">
        <v>49.9</v>
      </c>
      <c r="M645" s="9">
        <v>0</v>
      </c>
      <c r="N645" s="10">
        <v>13.5</v>
      </c>
      <c r="O645" s="11">
        <v>11.6</v>
      </c>
      <c r="P645" s="5">
        <v>5</v>
      </c>
      <c r="Q645" s="6">
        <v>125</v>
      </c>
      <c r="R645" s="7">
        <v>102</v>
      </c>
      <c r="S645" s="9">
        <v>0</v>
      </c>
      <c r="T645" s="10">
        <v>27</v>
      </c>
      <c r="U645" s="11">
        <v>24</v>
      </c>
    </row>
    <row r="646" spans="1:41">
      <c r="A646"/>
      <c r="B646"/>
      <c r="C646" s="12" t="s">
        <v>22</v>
      </c>
      <c r="D646" s="5">
        <v>6</v>
      </c>
      <c r="E646" s="6">
        <v>70</v>
      </c>
      <c r="F646" s="7">
        <v>39</v>
      </c>
      <c r="G646" s="9">
        <v>1</v>
      </c>
      <c r="H646" s="10">
        <v>35</v>
      </c>
      <c r="I646" s="11">
        <v>17</v>
      </c>
      <c r="J646" s="5">
        <v>7.9</v>
      </c>
      <c r="K646" s="6">
        <v>63.38</v>
      </c>
      <c r="L646" s="7">
        <v>37.75</v>
      </c>
      <c r="M646" s="9">
        <v>1</v>
      </c>
      <c r="N646" s="10">
        <v>32.65</v>
      </c>
      <c r="O646" s="11">
        <v>18.35</v>
      </c>
      <c r="P646" s="5">
        <v>16</v>
      </c>
      <c r="Q646" s="6">
        <v>134</v>
      </c>
      <c r="R646" s="7">
        <v>82</v>
      </c>
      <c r="S646" s="9">
        <v>2</v>
      </c>
      <c r="T646" s="10">
        <v>67</v>
      </c>
      <c r="U646" s="11">
        <v>39</v>
      </c>
    </row>
    <row r="647" spans="1:41">
      <c r="A647"/>
      <c r="B647"/>
      <c r="C647" s="12" t="s">
        <v>39</v>
      </c>
      <c r="D647" s="5">
        <v>0</v>
      </c>
      <c r="E647" s="6">
        <v>0</v>
      </c>
      <c r="F647" s="7">
        <v>0</v>
      </c>
      <c r="G647" s="9">
        <v>0</v>
      </c>
      <c r="H647" s="10">
        <v>0</v>
      </c>
      <c r="I647" s="11">
        <v>0</v>
      </c>
      <c r="J647" s="5">
        <v>0</v>
      </c>
      <c r="K647" s="6">
        <v>0</v>
      </c>
      <c r="L647" s="7">
        <v>0</v>
      </c>
      <c r="M647" s="9">
        <v>0</v>
      </c>
      <c r="N647" s="10">
        <v>0</v>
      </c>
      <c r="O647" s="11">
        <v>0</v>
      </c>
      <c r="P647" s="5">
        <v>0</v>
      </c>
      <c r="Q647" s="6">
        <v>0</v>
      </c>
      <c r="R647" s="7">
        <v>0</v>
      </c>
      <c r="S647" s="9">
        <v>0</v>
      </c>
      <c r="T647" s="10">
        <v>0</v>
      </c>
      <c r="U647" s="11">
        <v>0</v>
      </c>
    </row>
    <row r="648" spans="1:41">
      <c r="A648"/>
      <c r="B648"/>
      <c r="C648" s="12" t="s">
        <v>35</v>
      </c>
      <c r="D648" s="5">
        <v>98</v>
      </c>
      <c r="E648" s="6">
        <v>1128</v>
      </c>
      <c r="F648" s="7">
        <v>489</v>
      </c>
      <c r="G648" s="9">
        <v>34</v>
      </c>
      <c r="H648" s="10">
        <v>567</v>
      </c>
      <c r="I648" s="11">
        <v>253</v>
      </c>
      <c r="J648" s="5">
        <v>110.3</v>
      </c>
      <c r="K648" s="6">
        <v>1486.37</v>
      </c>
      <c r="L648" s="7">
        <v>704.48</v>
      </c>
      <c r="M648" s="9">
        <v>39.65</v>
      </c>
      <c r="N648" s="10">
        <v>680.88</v>
      </c>
      <c r="O648" s="11">
        <v>314.61</v>
      </c>
      <c r="P648" s="5">
        <v>227</v>
      </c>
      <c r="Q648" s="6">
        <v>3072</v>
      </c>
      <c r="R648" s="7">
        <v>1446</v>
      </c>
      <c r="S648" s="9">
        <v>82</v>
      </c>
      <c r="T648" s="10">
        <v>1403</v>
      </c>
      <c r="U648" s="11">
        <v>650</v>
      </c>
    </row>
    <row r="649" spans="1:41">
      <c r="C649" s="13" t="s">
        <v>26</v>
      </c>
      <c r="D649" s="13" t="str">
        <f>SUM(D641:D648)</f>
        <v>0</v>
      </c>
      <c r="E649" s="13" t="str">
        <f>SUM(E641:E648)</f>
        <v>0</v>
      </c>
      <c r="F649" s="13" t="str">
        <f>SUM(F641:F648)</f>
        <v>0</v>
      </c>
      <c r="G649" s="13" t="str">
        <f>SUM(G641:G648)</f>
        <v>0</v>
      </c>
      <c r="H649" s="13" t="str">
        <f>SUM(H641:H648)</f>
        <v>0</v>
      </c>
      <c r="I649" s="13" t="str">
        <f>SUM(I641:I648)</f>
        <v>0</v>
      </c>
      <c r="J649" s="13" t="str">
        <f>SUM(J641:J648)</f>
        <v>0</v>
      </c>
      <c r="K649" s="13" t="str">
        <f>SUM(K641:K648)</f>
        <v>0</v>
      </c>
      <c r="L649" s="13" t="str">
        <f>SUM(L641:L648)</f>
        <v>0</v>
      </c>
      <c r="M649" s="13" t="str">
        <f>SUM(M641:M648)</f>
        <v>0</v>
      </c>
      <c r="N649" s="13" t="str">
        <f>SUM(N641:N648)</f>
        <v>0</v>
      </c>
      <c r="O649" s="13" t="str">
        <f>SUM(O641:O648)</f>
        <v>0</v>
      </c>
      <c r="P649" s="13" t="str">
        <f>SUM(P641:P648)</f>
        <v>0</v>
      </c>
      <c r="Q649" s="13" t="str">
        <f>SUM(Q641:Q648)</f>
        <v>0</v>
      </c>
      <c r="R649" s="13" t="str">
        <f>SUM(R641:R648)</f>
        <v>0</v>
      </c>
      <c r="S649" s="13" t="str">
        <f>SUM(S641:S648)</f>
        <v>0</v>
      </c>
      <c r="T649" s="13" t="str">
        <f>SUM(T641:T648)</f>
        <v>0</v>
      </c>
      <c r="U649" s="13" t="str">
        <f>SUM(U641:U648)</f>
        <v>0</v>
      </c>
    </row>
    <row r="650" spans="1:41">
      <c r="A650"/>
      <c r="B650" s="14" t="s">
        <v>155</v>
      </c>
      <c r="C650" s="12" t="s">
        <v>30</v>
      </c>
      <c r="D650" s="5">
        <v>5</v>
      </c>
      <c r="E650" s="6">
        <v>394</v>
      </c>
      <c r="F650" s="7">
        <v>374</v>
      </c>
      <c r="G650" s="9">
        <v>1</v>
      </c>
      <c r="H650" s="10">
        <v>212</v>
      </c>
      <c r="I650" s="11">
        <v>308</v>
      </c>
      <c r="J650" s="5">
        <v>2.35</v>
      </c>
      <c r="K650" s="6">
        <v>209.03</v>
      </c>
      <c r="L650" s="7">
        <v>220.66</v>
      </c>
      <c r="M650" s="9">
        <v>0.13</v>
      </c>
      <c r="N650" s="10">
        <v>98.74</v>
      </c>
      <c r="O650" s="11">
        <v>166.89</v>
      </c>
      <c r="P650" s="5">
        <v>7</v>
      </c>
      <c r="Q650" s="6">
        <v>569</v>
      </c>
      <c r="R650" s="7">
        <v>585</v>
      </c>
      <c r="S650" s="9">
        <v>1</v>
      </c>
      <c r="T650" s="10">
        <v>292</v>
      </c>
      <c r="U650" s="11">
        <v>464</v>
      </c>
    </row>
    <row r="651" spans="1:41">
      <c r="A651"/>
      <c r="B651"/>
      <c r="C651" s="12" t="s">
        <v>16</v>
      </c>
      <c r="D651" s="5">
        <v>1</v>
      </c>
      <c r="E651" s="6">
        <v>74</v>
      </c>
      <c r="F651" s="7">
        <v>68</v>
      </c>
      <c r="G651" s="9">
        <v>0</v>
      </c>
      <c r="H651" s="10">
        <v>61</v>
      </c>
      <c r="I651" s="11">
        <v>63</v>
      </c>
      <c r="J651" s="5">
        <v>1</v>
      </c>
      <c r="K651" s="6">
        <v>43.93</v>
      </c>
      <c r="L651" s="7">
        <v>42.21</v>
      </c>
      <c r="M651" s="9">
        <v>0</v>
      </c>
      <c r="N651" s="10">
        <v>38.17</v>
      </c>
      <c r="O651" s="11">
        <v>36.27</v>
      </c>
      <c r="P651" s="5">
        <v>2</v>
      </c>
      <c r="Q651" s="6">
        <v>117</v>
      </c>
      <c r="R651" s="7">
        <v>108</v>
      </c>
      <c r="S651" s="9">
        <v>0</v>
      </c>
      <c r="T651" s="10">
        <v>104</v>
      </c>
      <c r="U651" s="11">
        <v>93</v>
      </c>
    </row>
    <row r="652" spans="1:41">
      <c r="A652"/>
      <c r="B652"/>
      <c r="C652" s="12" t="s">
        <v>17</v>
      </c>
      <c r="D652" s="5">
        <v>5</v>
      </c>
      <c r="E652" s="6">
        <v>244</v>
      </c>
      <c r="F652" s="7">
        <v>220</v>
      </c>
      <c r="G652" s="9">
        <v>2</v>
      </c>
      <c r="H652" s="10">
        <v>145</v>
      </c>
      <c r="I652" s="11">
        <v>159</v>
      </c>
      <c r="J652" s="5">
        <v>4.77</v>
      </c>
      <c r="K652" s="6">
        <v>136.19</v>
      </c>
      <c r="L652" s="7">
        <v>127.52</v>
      </c>
      <c r="M652" s="9">
        <v>1.02</v>
      </c>
      <c r="N652" s="10">
        <v>66.88</v>
      </c>
      <c r="O652" s="11">
        <v>90.25</v>
      </c>
      <c r="P652" s="5">
        <v>11</v>
      </c>
      <c r="Q652" s="6">
        <v>379</v>
      </c>
      <c r="R652" s="7">
        <v>348</v>
      </c>
      <c r="S652" s="9">
        <v>3</v>
      </c>
      <c r="T652" s="10">
        <v>207</v>
      </c>
      <c r="U652" s="11">
        <v>248</v>
      </c>
    </row>
    <row r="653" spans="1:41">
      <c r="A653"/>
      <c r="B653"/>
      <c r="C653" s="12" t="s">
        <v>18</v>
      </c>
      <c r="D653" s="5">
        <v>6</v>
      </c>
      <c r="E653" s="6">
        <v>367</v>
      </c>
      <c r="F653" s="7">
        <v>315</v>
      </c>
      <c r="G653" s="9">
        <v>3</v>
      </c>
      <c r="H653" s="10">
        <v>228</v>
      </c>
      <c r="I653" s="11">
        <v>260</v>
      </c>
      <c r="J653" s="5">
        <v>2.95</v>
      </c>
      <c r="K653" s="6">
        <v>227.8</v>
      </c>
      <c r="L653" s="7">
        <v>203.13</v>
      </c>
      <c r="M653" s="9">
        <v>2.25</v>
      </c>
      <c r="N653" s="10">
        <v>135.99</v>
      </c>
      <c r="O653" s="11">
        <v>163.11</v>
      </c>
      <c r="P653" s="5">
        <v>9</v>
      </c>
      <c r="Q653" s="6">
        <v>591</v>
      </c>
      <c r="R653" s="7">
        <v>525</v>
      </c>
      <c r="S653" s="9">
        <v>5</v>
      </c>
      <c r="T653" s="10">
        <v>367</v>
      </c>
      <c r="U653" s="11">
        <v>434</v>
      </c>
    </row>
    <row r="654" spans="1:41">
      <c r="A654"/>
      <c r="B654"/>
      <c r="C654" s="12" t="s">
        <v>29</v>
      </c>
      <c r="D654" s="5">
        <v>8</v>
      </c>
      <c r="E654" s="6">
        <v>159</v>
      </c>
      <c r="F654" s="7">
        <v>148</v>
      </c>
      <c r="G654" s="9">
        <v>3</v>
      </c>
      <c r="H654" s="10">
        <v>103</v>
      </c>
      <c r="I654" s="11">
        <v>116</v>
      </c>
      <c r="J654" s="5">
        <v>4.26</v>
      </c>
      <c r="K654" s="6">
        <v>121.2</v>
      </c>
      <c r="L654" s="7">
        <v>133.4</v>
      </c>
      <c r="M654" s="9">
        <v>2.1</v>
      </c>
      <c r="N654" s="10">
        <v>70.15</v>
      </c>
      <c r="O654" s="11">
        <v>81.53</v>
      </c>
      <c r="P654" s="5">
        <v>12</v>
      </c>
      <c r="Q654" s="6">
        <v>307</v>
      </c>
      <c r="R654" s="7">
        <v>325</v>
      </c>
      <c r="S654" s="9">
        <v>5</v>
      </c>
      <c r="T654" s="10">
        <v>181</v>
      </c>
      <c r="U654" s="11">
        <v>208</v>
      </c>
    </row>
    <row r="655" spans="1:41">
      <c r="A655"/>
      <c r="B655"/>
      <c r="C655" s="12" t="s">
        <v>20</v>
      </c>
      <c r="D655" s="5">
        <v>0</v>
      </c>
      <c r="E655" s="6">
        <v>13</v>
      </c>
      <c r="F655" s="7">
        <v>17</v>
      </c>
      <c r="G655" s="9">
        <v>0</v>
      </c>
      <c r="H655" s="10">
        <v>10</v>
      </c>
      <c r="I655" s="11">
        <v>14</v>
      </c>
      <c r="J655" s="5">
        <v>0</v>
      </c>
      <c r="K655" s="6">
        <v>8.8</v>
      </c>
      <c r="L655" s="7">
        <v>11.36</v>
      </c>
      <c r="M655" s="9">
        <v>0</v>
      </c>
      <c r="N655" s="10">
        <v>5.5</v>
      </c>
      <c r="O655" s="11">
        <v>9.33</v>
      </c>
      <c r="P655" s="5">
        <v>0</v>
      </c>
      <c r="Q655" s="6">
        <v>21</v>
      </c>
      <c r="R655" s="7">
        <v>28</v>
      </c>
      <c r="S655" s="9">
        <v>0</v>
      </c>
      <c r="T655" s="10">
        <v>13</v>
      </c>
      <c r="U655" s="11">
        <v>22</v>
      </c>
    </row>
    <row r="656" spans="1:41">
      <c r="A656"/>
      <c r="B656"/>
      <c r="C656" s="12" t="s">
        <v>36</v>
      </c>
      <c r="D656" s="5">
        <v>0</v>
      </c>
      <c r="E656" s="6">
        <v>50</v>
      </c>
      <c r="F656" s="7">
        <v>56</v>
      </c>
      <c r="G656" s="9">
        <v>0</v>
      </c>
      <c r="H656" s="10">
        <v>49</v>
      </c>
      <c r="I656" s="11">
        <v>40</v>
      </c>
      <c r="J656" s="5">
        <v>0</v>
      </c>
      <c r="K656" s="6">
        <v>38.41</v>
      </c>
      <c r="L656" s="7">
        <v>42.17</v>
      </c>
      <c r="M656" s="9">
        <v>0</v>
      </c>
      <c r="N656" s="10">
        <v>35.05</v>
      </c>
      <c r="O656" s="11">
        <v>35.76</v>
      </c>
      <c r="P656" s="5">
        <v>0</v>
      </c>
      <c r="Q656" s="6">
        <v>88</v>
      </c>
      <c r="R656" s="7">
        <v>103</v>
      </c>
      <c r="S656" s="9">
        <v>0</v>
      </c>
      <c r="T656" s="10">
        <v>85</v>
      </c>
      <c r="U656" s="11">
        <v>78</v>
      </c>
    </row>
    <row r="657" spans="1:41">
      <c r="A657"/>
      <c r="B657"/>
      <c r="C657" s="12" t="s">
        <v>22</v>
      </c>
      <c r="D657" s="5">
        <v>1</v>
      </c>
      <c r="E657" s="6">
        <v>61</v>
      </c>
      <c r="F657" s="7">
        <v>48</v>
      </c>
      <c r="G657" s="9">
        <v>1</v>
      </c>
      <c r="H657" s="10">
        <v>52</v>
      </c>
      <c r="I657" s="11">
        <v>65</v>
      </c>
      <c r="J657" s="5">
        <v>1.5</v>
      </c>
      <c r="K657" s="6">
        <v>41.73</v>
      </c>
      <c r="L657" s="7">
        <v>31.74</v>
      </c>
      <c r="M657" s="9">
        <v>0.82</v>
      </c>
      <c r="N657" s="10">
        <v>38.34</v>
      </c>
      <c r="O657" s="11">
        <v>47.08</v>
      </c>
      <c r="P657" s="5">
        <v>3</v>
      </c>
      <c r="Q657" s="6">
        <v>102</v>
      </c>
      <c r="R657" s="7">
        <v>82</v>
      </c>
      <c r="S657" s="9">
        <v>2</v>
      </c>
      <c r="T657" s="10">
        <v>94</v>
      </c>
      <c r="U657" s="11">
        <v>117</v>
      </c>
    </row>
    <row r="658" spans="1:41">
      <c r="A658"/>
      <c r="B658"/>
      <c r="C658" s="12" t="s">
        <v>39</v>
      </c>
      <c r="D658" s="5">
        <v>1</v>
      </c>
      <c r="E658" s="6">
        <v>34</v>
      </c>
      <c r="F658" s="7">
        <v>25</v>
      </c>
      <c r="G658" s="9">
        <v>0</v>
      </c>
      <c r="H658" s="10">
        <v>37</v>
      </c>
      <c r="I658" s="11">
        <v>30</v>
      </c>
      <c r="J658" s="5">
        <v>0.5</v>
      </c>
      <c r="K658" s="6">
        <v>19.5</v>
      </c>
      <c r="L658" s="7">
        <v>16.19</v>
      </c>
      <c r="M658" s="9">
        <v>0</v>
      </c>
      <c r="N658" s="10">
        <v>20.33</v>
      </c>
      <c r="O658" s="11">
        <v>18.35</v>
      </c>
      <c r="P658" s="5">
        <v>1</v>
      </c>
      <c r="Q658" s="6">
        <v>54</v>
      </c>
      <c r="R658" s="7">
        <v>40</v>
      </c>
      <c r="S658" s="9">
        <v>0</v>
      </c>
      <c r="T658" s="10">
        <v>58</v>
      </c>
      <c r="U658" s="11">
        <v>47</v>
      </c>
    </row>
    <row r="659" spans="1:41">
      <c r="A659"/>
      <c r="B659"/>
      <c r="C659" s="12" t="s">
        <v>35</v>
      </c>
      <c r="D659" s="5">
        <v>3</v>
      </c>
      <c r="E659" s="6">
        <v>202</v>
      </c>
      <c r="F659" s="7">
        <v>184</v>
      </c>
      <c r="G659" s="9">
        <v>2</v>
      </c>
      <c r="H659" s="10">
        <v>126</v>
      </c>
      <c r="I659" s="11">
        <v>133</v>
      </c>
      <c r="J659" s="5">
        <v>1.89</v>
      </c>
      <c r="K659" s="6">
        <v>113.92</v>
      </c>
      <c r="L659" s="7">
        <v>112.39</v>
      </c>
      <c r="M659" s="9">
        <v>0.58</v>
      </c>
      <c r="N659" s="10">
        <v>74.28</v>
      </c>
      <c r="O659" s="11">
        <v>70.56</v>
      </c>
      <c r="P659" s="5">
        <v>5</v>
      </c>
      <c r="Q659" s="6">
        <v>303</v>
      </c>
      <c r="R659" s="7">
        <v>297</v>
      </c>
      <c r="S659" s="9">
        <v>2</v>
      </c>
      <c r="T659" s="10">
        <v>193</v>
      </c>
      <c r="U659" s="11">
        <v>194</v>
      </c>
    </row>
    <row r="660" spans="1:41">
      <c r="C660" s="13" t="s">
        <v>26</v>
      </c>
      <c r="D660" s="13" t="str">
        <f>SUM(D650:D659)</f>
        <v>0</v>
      </c>
      <c r="E660" s="13" t="str">
        <f>SUM(E650:E659)</f>
        <v>0</v>
      </c>
      <c r="F660" s="13" t="str">
        <f>SUM(F650:F659)</f>
        <v>0</v>
      </c>
      <c r="G660" s="13" t="str">
        <f>SUM(G650:G659)</f>
        <v>0</v>
      </c>
      <c r="H660" s="13" t="str">
        <f>SUM(H650:H659)</f>
        <v>0</v>
      </c>
      <c r="I660" s="13" t="str">
        <f>SUM(I650:I659)</f>
        <v>0</v>
      </c>
      <c r="J660" s="13" t="str">
        <f>SUM(J650:J659)</f>
        <v>0</v>
      </c>
      <c r="K660" s="13" t="str">
        <f>SUM(K650:K659)</f>
        <v>0</v>
      </c>
      <c r="L660" s="13" t="str">
        <f>SUM(L650:L659)</f>
        <v>0</v>
      </c>
      <c r="M660" s="13" t="str">
        <f>SUM(M650:M659)</f>
        <v>0</v>
      </c>
      <c r="N660" s="13" t="str">
        <f>SUM(N650:N659)</f>
        <v>0</v>
      </c>
      <c r="O660" s="13" t="str">
        <f>SUM(O650:O659)</f>
        <v>0</v>
      </c>
      <c r="P660" s="13" t="str">
        <f>SUM(P650:P659)</f>
        <v>0</v>
      </c>
      <c r="Q660" s="13" t="str">
        <f>SUM(Q650:Q659)</f>
        <v>0</v>
      </c>
      <c r="R660" s="13" t="str">
        <f>SUM(R650:R659)</f>
        <v>0</v>
      </c>
      <c r="S660" s="13" t="str">
        <f>SUM(S650:S659)</f>
        <v>0</v>
      </c>
      <c r="T660" s="13" t="str">
        <f>SUM(T650:T659)</f>
        <v>0</v>
      </c>
      <c r="U660" s="13" t="str">
        <f>SUM(U650:U659)</f>
        <v>0</v>
      </c>
    </row>
    <row r="661" spans="1:41">
      <c r="A661" s="9" t="s">
        <v>156</v>
      </c>
      <c r="B661" s="11" t="s">
        <v>157</v>
      </c>
      <c r="C661" s="12" t="s">
        <v>42</v>
      </c>
      <c r="D661" s="5">
        <v>2</v>
      </c>
      <c r="E661" s="6">
        <v>19</v>
      </c>
      <c r="F661" s="7">
        <v>11</v>
      </c>
      <c r="G661" s="9">
        <v>1</v>
      </c>
      <c r="H661" s="10">
        <v>36</v>
      </c>
      <c r="I661" s="11">
        <v>20</v>
      </c>
      <c r="J661" s="5">
        <v>0.38</v>
      </c>
      <c r="K661" s="6">
        <v>7.74</v>
      </c>
      <c r="L661" s="7">
        <v>2.68</v>
      </c>
      <c r="M661" s="9">
        <v>0.3</v>
      </c>
      <c r="N661" s="10">
        <v>12.49</v>
      </c>
      <c r="O661" s="11">
        <v>6.69</v>
      </c>
      <c r="P661" s="5">
        <v>2</v>
      </c>
      <c r="Q661" s="6">
        <v>24</v>
      </c>
      <c r="R661" s="7">
        <v>11</v>
      </c>
      <c r="S661" s="9">
        <v>1</v>
      </c>
      <c r="T661" s="10">
        <v>40</v>
      </c>
      <c r="U661" s="11">
        <v>22</v>
      </c>
    </row>
    <row r="662" spans="1:41">
      <c r="A662"/>
      <c r="B662"/>
      <c r="C662" s="12" t="s">
        <v>30</v>
      </c>
      <c r="D662" s="5">
        <v>6</v>
      </c>
      <c r="E662" s="6">
        <v>131</v>
      </c>
      <c r="F662" s="7">
        <v>65</v>
      </c>
      <c r="G662" s="9">
        <v>7</v>
      </c>
      <c r="H662" s="10">
        <v>129</v>
      </c>
      <c r="I662" s="11">
        <v>79</v>
      </c>
      <c r="J662" s="5">
        <v>7.8</v>
      </c>
      <c r="K662" s="6">
        <v>86.95</v>
      </c>
      <c r="L662" s="7">
        <v>58.53</v>
      </c>
      <c r="M662" s="9">
        <v>4.36</v>
      </c>
      <c r="N662" s="10">
        <v>76.97</v>
      </c>
      <c r="O662" s="11">
        <v>58.33</v>
      </c>
      <c r="P662" s="5">
        <v>16</v>
      </c>
      <c r="Q662" s="6">
        <v>218</v>
      </c>
      <c r="R662" s="7">
        <v>136</v>
      </c>
      <c r="S662" s="9">
        <v>10</v>
      </c>
      <c r="T662" s="10">
        <v>202</v>
      </c>
      <c r="U662" s="11">
        <v>150</v>
      </c>
    </row>
    <row r="663" spans="1:41">
      <c r="A663"/>
      <c r="B663"/>
      <c r="C663" s="12" t="s">
        <v>16</v>
      </c>
      <c r="D663" s="5">
        <v>6</v>
      </c>
      <c r="E663" s="6">
        <v>64</v>
      </c>
      <c r="F663" s="7">
        <v>32</v>
      </c>
      <c r="G663" s="9">
        <v>5</v>
      </c>
      <c r="H663" s="10">
        <v>83</v>
      </c>
      <c r="I663" s="11">
        <v>37</v>
      </c>
      <c r="J663" s="5">
        <v>3.61</v>
      </c>
      <c r="K663" s="6">
        <v>36.69</v>
      </c>
      <c r="L663" s="7">
        <v>24.63</v>
      </c>
      <c r="M663" s="9">
        <v>2.74</v>
      </c>
      <c r="N663" s="10">
        <v>46.22</v>
      </c>
      <c r="O663" s="11">
        <v>25.75</v>
      </c>
      <c r="P663" s="5">
        <v>9</v>
      </c>
      <c r="Q663" s="6">
        <v>96</v>
      </c>
      <c r="R663" s="7">
        <v>63</v>
      </c>
      <c r="S663" s="9">
        <v>8</v>
      </c>
      <c r="T663" s="10">
        <v>119</v>
      </c>
      <c r="U663" s="11">
        <v>66</v>
      </c>
    </row>
    <row r="664" spans="1:41">
      <c r="A664"/>
      <c r="B664"/>
      <c r="C664" s="12" t="s">
        <v>17</v>
      </c>
      <c r="D664" s="5">
        <v>4</v>
      </c>
      <c r="E664" s="6">
        <v>105</v>
      </c>
      <c r="F664" s="7">
        <v>75</v>
      </c>
      <c r="G664" s="9">
        <v>5</v>
      </c>
      <c r="H664" s="10">
        <v>95</v>
      </c>
      <c r="I664" s="11">
        <v>60</v>
      </c>
      <c r="J664" s="5">
        <v>2.81</v>
      </c>
      <c r="K664" s="6">
        <v>93.97</v>
      </c>
      <c r="L664" s="7">
        <v>67.27</v>
      </c>
      <c r="M664" s="9">
        <v>4.85</v>
      </c>
      <c r="N664" s="10">
        <v>71.83</v>
      </c>
      <c r="O664" s="11">
        <v>45.27</v>
      </c>
      <c r="P664" s="5">
        <v>7</v>
      </c>
      <c r="Q664" s="6">
        <v>218</v>
      </c>
      <c r="R664" s="7">
        <v>160</v>
      </c>
      <c r="S664" s="9">
        <v>10</v>
      </c>
      <c r="T664" s="10">
        <v>174</v>
      </c>
      <c r="U664" s="11">
        <v>110</v>
      </c>
    </row>
    <row r="665" spans="1:41">
      <c r="A665"/>
      <c r="B665"/>
      <c r="C665" s="12" t="s">
        <v>18</v>
      </c>
      <c r="D665" s="5">
        <v>129</v>
      </c>
      <c r="E665" s="6">
        <v>3100</v>
      </c>
      <c r="F665" s="7">
        <v>1888</v>
      </c>
      <c r="G665" s="9">
        <v>114</v>
      </c>
      <c r="H665" s="10">
        <v>2638</v>
      </c>
      <c r="I665" s="11">
        <v>1940</v>
      </c>
      <c r="J665" s="5">
        <v>106.6</v>
      </c>
      <c r="K665" s="6">
        <v>2734.26</v>
      </c>
      <c r="L665" s="7">
        <v>1872.93</v>
      </c>
      <c r="M665" s="9">
        <v>84.8</v>
      </c>
      <c r="N665" s="10">
        <v>2133.01</v>
      </c>
      <c r="O665" s="11">
        <v>1688.28</v>
      </c>
      <c r="P665" s="5">
        <v>249</v>
      </c>
      <c r="Q665" s="6">
        <v>6338</v>
      </c>
      <c r="R665" s="7">
        <v>4308</v>
      </c>
      <c r="S665" s="9">
        <v>203</v>
      </c>
      <c r="T665" s="10">
        <v>5033</v>
      </c>
      <c r="U665" s="11">
        <v>3932</v>
      </c>
    </row>
    <row r="666" spans="1:41">
      <c r="A666"/>
      <c r="B666"/>
      <c r="C666" s="12" t="s">
        <v>29</v>
      </c>
      <c r="D666" s="5">
        <v>1</v>
      </c>
      <c r="E666" s="6">
        <v>10</v>
      </c>
      <c r="F666" s="7">
        <v>4</v>
      </c>
      <c r="G666" s="9">
        <v>0</v>
      </c>
      <c r="H666" s="10">
        <v>6</v>
      </c>
      <c r="I666" s="11">
        <v>5</v>
      </c>
      <c r="J666" s="5">
        <v>0.75</v>
      </c>
      <c r="K666" s="6">
        <v>11.22</v>
      </c>
      <c r="L666" s="7">
        <v>6.25</v>
      </c>
      <c r="M666" s="9">
        <v>0</v>
      </c>
      <c r="N666" s="10">
        <v>11.28</v>
      </c>
      <c r="O666" s="11">
        <v>6.93</v>
      </c>
      <c r="P666" s="5">
        <v>2</v>
      </c>
      <c r="Q666" s="6">
        <v>25</v>
      </c>
      <c r="R666" s="7">
        <v>14</v>
      </c>
      <c r="S666" s="9">
        <v>0</v>
      </c>
      <c r="T666" s="10">
        <v>25</v>
      </c>
      <c r="U666" s="11">
        <v>15</v>
      </c>
    </row>
    <row r="667" spans="1:41">
      <c r="A667"/>
      <c r="B667"/>
      <c r="C667" s="12" t="s">
        <v>20</v>
      </c>
      <c r="D667" s="5">
        <v>75</v>
      </c>
      <c r="E667" s="6">
        <v>1339</v>
      </c>
      <c r="F667" s="7">
        <v>716</v>
      </c>
      <c r="G667" s="9">
        <v>56</v>
      </c>
      <c r="H667" s="10">
        <v>1108</v>
      </c>
      <c r="I667" s="11">
        <v>741</v>
      </c>
      <c r="J667" s="5">
        <v>60.95</v>
      </c>
      <c r="K667" s="6">
        <v>1190.95</v>
      </c>
      <c r="L667" s="7">
        <v>657.81</v>
      </c>
      <c r="M667" s="9">
        <v>45.31</v>
      </c>
      <c r="N667" s="10">
        <v>939.39</v>
      </c>
      <c r="O667" s="11">
        <v>671.47</v>
      </c>
      <c r="P667" s="5">
        <v>137</v>
      </c>
      <c r="Q667" s="6">
        <v>2747</v>
      </c>
      <c r="R667" s="7">
        <v>1519</v>
      </c>
      <c r="S667" s="9">
        <v>104</v>
      </c>
      <c r="T667" s="10">
        <v>2169</v>
      </c>
      <c r="U667" s="11">
        <v>1557</v>
      </c>
    </row>
    <row r="668" spans="1:41">
      <c r="A668"/>
      <c r="B668"/>
      <c r="C668" s="12" t="s">
        <v>37</v>
      </c>
      <c r="D668" s="5">
        <v>16</v>
      </c>
      <c r="E668" s="6">
        <v>608</v>
      </c>
      <c r="F668" s="7">
        <v>343</v>
      </c>
      <c r="G668" s="9">
        <v>23</v>
      </c>
      <c r="H668" s="10">
        <v>489</v>
      </c>
      <c r="I668" s="11">
        <v>365</v>
      </c>
      <c r="J668" s="5">
        <v>10.47</v>
      </c>
      <c r="K668" s="6">
        <v>452.4</v>
      </c>
      <c r="L668" s="7">
        <v>283.48</v>
      </c>
      <c r="M668" s="9">
        <v>12.35</v>
      </c>
      <c r="N668" s="10">
        <v>317.58</v>
      </c>
      <c r="O668" s="11">
        <v>283.17</v>
      </c>
      <c r="P668" s="5">
        <v>26</v>
      </c>
      <c r="Q668" s="6">
        <v>1107</v>
      </c>
      <c r="R668" s="7">
        <v>671</v>
      </c>
      <c r="S668" s="9">
        <v>35</v>
      </c>
      <c r="T668" s="10">
        <v>799</v>
      </c>
      <c r="U668" s="11">
        <v>695</v>
      </c>
    </row>
    <row r="669" spans="1:41">
      <c r="A669"/>
      <c r="B669"/>
      <c r="C669" s="12" t="s">
        <v>22</v>
      </c>
      <c r="D669" s="5">
        <v>11</v>
      </c>
      <c r="E669" s="6">
        <v>192</v>
      </c>
      <c r="F669" s="7">
        <v>126</v>
      </c>
      <c r="G669" s="9">
        <v>11</v>
      </c>
      <c r="H669" s="10">
        <v>172</v>
      </c>
      <c r="I669" s="11">
        <v>113</v>
      </c>
      <c r="J669" s="5">
        <v>7.33</v>
      </c>
      <c r="K669" s="6">
        <v>180.76</v>
      </c>
      <c r="L669" s="7">
        <v>113.26</v>
      </c>
      <c r="M669" s="9">
        <v>7.95</v>
      </c>
      <c r="N669" s="10">
        <v>125.23</v>
      </c>
      <c r="O669" s="11">
        <v>89.2</v>
      </c>
      <c r="P669" s="5">
        <v>18</v>
      </c>
      <c r="Q669" s="6">
        <v>411</v>
      </c>
      <c r="R669" s="7">
        <v>251</v>
      </c>
      <c r="S669" s="9">
        <v>19</v>
      </c>
      <c r="T669" s="10">
        <v>306</v>
      </c>
      <c r="U669" s="11">
        <v>211</v>
      </c>
    </row>
    <row r="670" spans="1:41">
      <c r="A670"/>
      <c r="B670"/>
      <c r="C670" s="12" t="s">
        <v>34</v>
      </c>
      <c r="D670" s="5">
        <v>1</v>
      </c>
      <c r="E670" s="6">
        <v>7</v>
      </c>
      <c r="F670" s="7">
        <v>9</v>
      </c>
      <c r="G670" s="9">
        <v>0</v>
      </c>
      <c r="H670" s="10">
        <v>15</v>
      </c>
      <c r="I670" s="11">
        <v>11</v>
      </c>
      <c r="J670" s="5">
        <v>0.35</v>
      </c>
      <c r="K670" s="6">
        <v>2.22</v>
      </c>
      <c r="L670" s="7">
        <v>4.42</v>
      </c>
      <c r="M670" s="9">
        <v>0</v>
      </c>
      <c r="N670" s="10">
        <v>5.75</v>
      </c>
      <c r="O670" s="11">
        <v>3.4</v>
      </c>
      <c r="P670" s="5">
        <v>1</v>
      </c>
      <c r="Q670" s="6">
        <v>7</v>
      </c>
      <c r="R670" s="7">
        <v>12</v>
      </c>
      <c r="S670" s="9">
        <v>0</v>
      </c>
      <c r="T670" s="10">
        <v>17</v>
      </c>
      <c r="U670" s="11">
        <v>11</v>
      </c>
    </row>
    <row r="671" spans="1:41">
      <c r="A671"/>
      <c r="B671"/>
      <c r="C671" s="12" t="s">
        <v>39</v>
      </c>
      <c r="D671" s="5">
        <v>2</v>
      </c>
      <c r="E671" s="6">
        <v>66</v>
      </c>
      <c r="F671" s="7">
        <v>53</v>
      </c>
      <c r="G671" s="9">
        <v>2</v>
      </c>
      <c r="H671" s="10">
        <v>58</v>
      </c>
      <c r="I671" s="11">
        <v>38</v>
      </c>
      <c r="J671" s="5">
        <v>1.25</v>
      </c>
      <c r="K671" s="6">
        <v>84.38</v>
      </c>
      <c r="L671" s="7">
        <v>57.97</v>
      </c>
      <c r="M671" s="9">
        <v>2.3</v>
      </c>
      <c r="N671" s="10">
        <v>43.74</v>
      </c>
      <c r="O671" s="11">
        <v>29</v>
      </c>
      <c r="P671" s="5">
        <v>3</v>
      </c>
      <c r="Q671" s="6">
        <v>192</v>
      </c>
      <c r="R671" s="7">
        <v>133</v>
      </c>
      <c r="S671" s="9">
        <v>5</v>
      </c>
      <c r="T671" s="10">
        <v>109</v>
      </c>
      <c r="U671" s="11">
        <v>69</v>
      </c>
    </row>
    <row r="672" spans="1:41">
      <c r="A672"/>
      <c r="B672"/>
      <c r="C672" s="12" t="s">
        <v>38</v>
      </c>
      <c r="D672" s="5">
        <v>21</v>
      </c>
      <c r="E672" s="6">
        <v>606</v>
      </c>
      <c r="F672" s="7">
        <v>315</v>
      </c>
      <c r="G672" s="9">
        <v>27</v>
      </c>
      <c r="H672" s="10">
        <v>473</v>
      </c>
      <c r="I672" s="11">
        <v>349</v>
      </c>
      <c r="J672" s="5">
        <v>11.24</v>
      </c>
      <c r="K672" s="6">
        <v>497.24</v>
      </c>
      <c r="L672" s="7">
        <v>297.1</v>
      </c>
      <c r="M672" s="9">
        <v>17.3</v>
      </c>
      <c r="N672" s="10">
        <v>347.63</v>
      </c>
      <c r="O672" s="11">
        <v>255.24</v>
      </c>
      <c r="P672" s="5">
        <v>31</v>
      </c>
      <c r="Q672" s="6">
        <v>1179</v>
      </c>
      <c r="R672" s="7">
        <v>690</v>
      </c>
      <c r="S672" s="9">
        <v>43</v>
      </c>
      <c r="T672" s="10">
        <v>834</v>
      </c>
      <c r="U672" s="11">
        <v>622</v>
      </c>
    </row>
    <row r="673" spans="1:41">
      <c r="A673"/>
      <c r="B673"/>
      <c r="C673" s="12" t="s">
        <v>35</v>
      </c>
      <c r="D673" s="5">
        <v>7</v>
      </c>
      <c r="E673" s="6">
        <v>195</v>
      </c>
      <c r="F673" s="7">
        <v>125</v>
      </c>
      <c r="G673" s="9">
        <v>1</v>
      </c>
      <c r="H673" s="10">
        <v>194</v>
      </c>
      <c r="I673" s="11">
        <v>122</v>
      </c>
      <c r="J673" s="5">
        <v>3.06</v>
      </c>
      <c r="K673" s="6">
        <v>143.42</v>
      </c>
      <c r="L673" s="7">
        <v>109.28</v>
      </c>
      <c r="M673" s="9">
        <v>0.8</v>
      </c>
      <c r="N673" s="10">
        <v>115.26</v>
      </c>
      <c r="O673" s="11">
        <v>82.12</v>
      </c>
      <c r="P673" s="5">
        <v>9</v>
      </c>
      <c r="Q673" s="6">
        <v>353</v>
      </c>
      <c r="R673" s="7">
        <v>253</v>
      </c>
      <c r="S673" s="9">
        <v>2</v>
      </c>
      <c r="T673" s="10">
        <v>300</v>
      </c>
      <c r="U673" s="11">
        <v>204</v>
      </c>
    </row>
    <row r="674" spans="1:41">
      <c r="C674" s="13" t="s">
        <v>26</v>
      </c>
      <c r="D674" s="13" t="str">
        <f>SUM(D661:D673)</f>
        <v>0</v>
      </c>
      <c r="E674" s="13" t="str">
        <f>SUM(E661:E673)</f>
        <v>0</v>
      </c>
      <c r="F674" s="13" t="str">
        <f>SUM(F661:F673)</f>
        <v>0</v>
      </c>
      <c r="G674" s="13" t="str">
        <f>SUM(G661:G673)</f>
        <v>0</v>
      </c>
      <c r="H674" s="13" t="str">
        <f>SUM(H661:H673)</f>
        <v>0</v>
      </c>
      <c r="I674" s="13" t="str">
        <f>SUM(I661:I673)</f>
        <v>0</v>
      </c>
      <c r="J674" s="13" t="str">
        <f>SUM(J661:J673)</f>
        <v>0</v>
      </c>
      <c r="K674" s="13" t="str">
        <f>SUM(K661:K673)</f>
        <v>0</v>
      </c>
      <c r="L674" s="13" t="str">
        <f>SUM(L661:L673)</f>
        <v>0</v>
      </c>
      <c r="M674" s="13" t="str">
        <f>SUM(M661:M673)</f>
        <v>0</v>
      </c>
      <c r="N674" s="13" t="str">
        <f>SUM(N661:N673)</f>
        <v>0</v>
      </c>
      <c r="O674" s="13" t="str">
        <f>SUM(O661:O673)</f>
        <v>0</v>
      </c>
      <c r="P674" s="13" t="str">
        <f>SUM(P661:P673)</f>
        <v>0</v>
      </c>
      <c r="Q674" s="13" t="str">
        <f>SUM(Q661:Q673)</f>
        <v>0</v>
      </c>
      <c r="R674" s="13" t="str">
        <f>SUM(R661:R673)</f>
        <v>0</v>
      </c>
      <c r="S674" s="13" t="str">
        <f>SUM(S661:S673)</f>
        <v>0</v>
      </c>
      <c r="T674" s="13" t="str">
        <f>SUM(T661:T673)</f>
        <v>0</v>
      </c>
      <c r="U674" s="13" t="str">
        <f>SUM(U661:U673)</f>
        <v>0</v>
      </c>
    </row>
    <row r="675" spans="1:41">
      <c r="A675"/>
      <c r="B675" s="14" t="s">
        <v>158</v>
      </c>
      <c r="C675" s="12" t="s">
        <v>42</v>
      </c>
      <c r="D675" s="5">
        <v>5</v>
      </c>
      <c r="E675" s="6">
        <v>50</v>
      </c>
      <c r="F675" s="7">
        <v>31</v>
      </c>
      <c r="G675" s="9">
        <v>6</v>
      </c>
      <c r="H675" s="10">
        <v>58</v>
      </c>
      <c r="I675" s="11">
        <v>30</v>
      </c>
      <c r="J675" s="5">
        <v>2.68</v>
      </c>
      <c r="K675" s="6">
        <v>33.7</v>
      </c>
      <c r="L675" s="7">
        <v>23.77</v>
      </c>
      <c r="M675" s="9">
        <v>1.83</v>
      </c>
      <c r="N675" s="10">
        <v>35.08</v>
      </c>
      <c r="O675" s="11">
        <v>21.05</v>
      </c>
      <c r="P675" s="5">
        <v>6</v>
      </c>
      <c r="Q675" s="6">
        <v>80</v>
      </c>
      <c r="R675" s="7">
        <v>54</v>
      </c>
      <c r="S675" s="9">
        <v>7</v>
      </c>
      <c r="T675" s="10">
        <v>88</v>
      </c>
      <c r="U675" s="11">
        <v>48</v>
      </c>
    </row>
    <row r="676" spans="1:41">
      <c r="A676"/>
      <c r="B676"/>
      <c r="C676" s="12" t="s">
        <v>30</v>
      </c>
      <c r="D676" s="5">
        <v>3</v>
      </c>
      <c r="E676" s="6">
        <v>100</v>
      </c>
      <c r="F676" s="7">
        <v>39</v>
      </c>
      <c r="G676" s="9">
        <v>5</v>
      </c>
      <c r="H676" s="10">
        <v>145</v>
      </c>
      <c r="I676" s="11">
        <v>55</v>
      </c>
      <c r="J676" s="5">
        <v>1.75</v>
      </c>
      <c r="K676" s="6">
        <v>65.47</v>
      </c>
      <c r="L676" s="7">
        <v>31.95</v>
      </c>
      <c r="M676" s="9">
        <v>2.8</v>
      </c>
      <c r="N676" s="10">
        <v>86.15</v>
      </c>
      <c r="O676" s="11">
        <v>35.95</v>
      </c>
      <c r="P676" s="5">
        <v>4</v>
      </c>
      <c r="Q676" s="6">
        <v>150</v>
      </c>
      <c r="R676" s="7">
        <v>71</v>
      </c>
      <c r="S676" s="9">
        <v>8</v>
      </c>
      <c r="T676" s="10">
        <v>200</v>
      </c>
      <c r="U676" s="11">
        <v>85</v>
      </c>
    </row>
    <row r="677" spans="1:41">
      <c r="A677"/>
      <c r="B677"/>
      <c r="C677" s="12" t="s">
        <v>16</v>
      </c>
      <c r="D677" s="5">
        <v>8</v>
      </c>
      <c r="E677" s="6">
        <v>50</v>
      </c>
      <c r="F677" s="7">
        <v>13</v>
      </c>
      <c r="G677" s="9">
        <v>2</v>
      </c>
      <c r="H677" s="10">
        <v>45</v>
      </c>
      <c r="I677" s="11">
        <v>21</v>
      </c>
      <c r="J677" s="5">
        <v>4.5</v>
      </c>
      <c r="K677" s="6">
        <v>25.23</v>
      </c>
      <c r="L677" s="7">
        <v>6.07</v>
      </c>
      <c r="M677" s="9">
        <v>0.5</v>
      </c>
      <c r="N677" s="10">
        <v>24.06</v>
      </c>
      <c r="O677" s="11">
        <v>10.6</v>
      </c>
      <c r="P677" s="5">
        <v>11</v>
      </c>
      <c r="Q677" s="6">
        <v>66</v>
      </c>
      <c r="R677" s="7">
        <v>15</v>
      </c>
      <c r="S677" s="9">
        <v>2</v>
      </c>
      <c r="T677" s="10">
        <v>61</v>
      </c>
      <c r="U677" s="11">
        <v>28</v>
      </c>
    </row>
    <row r="678" spans="1:41">
      <c r="A678"/>
      <c r="B678"/>
      <c r="C678" s="12" t="s">
        <v>18</v>
      </c>
      <c r="D678" s="5">
        <v>17</v>
      </c>
      <c r="E678" s="6">
        <v>289</v>
      </c>
      <c r="F678" s="7">
        <v>202</v>
      </c>
      <c r="G678" s="9">
        <v>15</v>
      </c>
      <c r="H678" s="10">
        <v>275</v>
      </c>
      <c r="I678" s="11">
        <v>251</v>
      </c>
      <c r="J678" s="5">
        <v>14.15</v>
      </c>
      <c r="K678" s="6">
        <v>257.32</v>
      </c>
      <c r="L678" s="7">
        <v>184.23</v>
      </c>
      <c r="M678" s="9">
        <v>8.8</v>
      </c>
      <c r="N678" s="10">
        <v>189.67</v>
      </c>
      <c r="O678" s="11">
        <v>192.83</v>
      </c>
      <c r="P678" s="5">
        <v>31</v>
      </c>
      <c r="Q678" s="6">
        <v>584</v>
      </c>
      <c r="R678" s="7">
        <v>418</v>
      </c>
      <c r="S678" s="9">
        <v>21</v>
      </c>
      <c r="T678" s="10">
        <v>455</v>
      </c>
      <c r="U678" s="11">
        <v>457</v>
      </c>
    </row>
    <row r="679" spans="1:41">
      <c r="A679"/>
      <c r="B679"/>
      <c r="C679" s="12" t="s">
        <v>37</v>
      </c>
      <c r="D679" s="5">
        <v>11</v>
      </c>
      <c r="E679" s="6">
        <v>91</v>
      </c>
      <c r="F679" s="7">
        <v>37</v>
      </c>
      <c r="G679" s="9">
        <v>5</v>
      </c>
      <c r="H679" s="10">
        <v>83</v>
      </c>
      <c r="I679" s="11">
        <v>41</v>
      </c>
      <c r="J679" s="5">
        <v>11.1</v>
      </c>
      <c r="K679" s="6">
        <v>74.59</v>
      </c>
      <c r="L679" s="7">
        <v>35.73</v>
      </c>
      <c r="M679" s="9">
        <v>2.25</v>
      </c>
      <c r="N679" s="10">
        <v>66</v>
      </c>
      <c r="O679" s="11">
        <v>29.54</v>
      </c>
      <c r="P679" s="5">
        <v>26</v>
      </c>
      <c r="Q679" s="6">
        <v>165</v>
      </c>
      <c r="R679" s="7">
        <v>78</v>
      </c>
      <c r="S679" s="9">
        <v>6</v>
      </c>
      <c r="T679" s="10">
        <v>152</v>
      </c>
      <c r="U679" s="11">
        <v>65</v>
      </c>
    </row>
    <row r="680" spans="1:41">
      <c r="A680"/>
      <c r="B680"/>
      <c r="C680" s="12" t="s">
        <v>39</v>
      </c>
      <c r="D680" s="5">
        <v>7</v>
      </c>
      <c r="E680" s="6">
        <v>89</v>
      </c>
      <c r="F680" s="7">
        <v>24</v>
      </c>
      <c r="G680" s="9">
        <v>9</v>
      </c>
      <c r="H680" s="10">
        <v>125</v>
      </c>
      <c r="I680" s="11">
        <v>65</v>
      </c>
      <c r="J680" s="5">
        <v>5.05</v>
      </c>
      <c r="K680" s="6">
        <v>61.1</v>
      </c>
      <c r="L680" s="7">
        <v>25.97</v>
      </c>
      <c r="M680" s="9">
        <v>6</v>
      </c>
      <c r="N680" s="10">
        <v>67.16</v>
      </c>
      <c r="O680" s="11">
        <v>39</v>
      </c>
      <c r="P680" s="5">
        <v>12</v>
      </c>
      <c r="Q680" s="6">
        <v>140</v>
      </c>
      <c r="R680" s="7">
        <v>59</v>
      </c>
      <c r="S680" s="9">
        <v>13</v>
      </c>
      <c r="T680" s="10">
        <v>165</v>
      </c>
      <c r="U680" s="11">
        <v>91</v>
      </c>
    </row>
    <row r="681" spans="1:41">
      <c r="A681"/>
      <c r="B681"/>
      <c r="C681" s="12" t="s">
        <v>35</v>
      </c>
      <c r="D681" s="5">
        <v>21</v>
      </c>
      <c r="E681" s="6">
        <v>387</v>
      </c>
      <c r="F681" s="7">
        <v>260</v>
      </c>
      <c r="G681" s="9">
        <v>17</v>
      </c>
      <c r="H681" s="10">
        <v>533</v>
      </c>
      <c r="I681" s="11">
        <v>296</v>
      </c>
      <c r="J681" s="5">
        <v>16.02</v>
      </c>
      <c r="K681" s="6">
        <v>330.23</v>
      </c>
      <c r="L681" s="7">
        <v>245.71</v>
      </c>
      <c r="M681" s="9">
        <v>9.1</v>
      </c>
      <c r="N681" s="10">
        <v>386.27</v>
      </c>
      <c r="O681" s="11">
        <v>246.65</v>
      </c>
      <c r="P681" s="5">
        <v>37</v>
      </c>
      <c r="Q681" s="6">
        <v>742</v>
      </c>
      <c r="R681" s="7">
        <v>537</v>
      </c>
      <c r="S681" s="9">
        <v>23</v>
      </c>
      <c r="T681" s="10">
        <v>890</v>
      </c>
      <c r="U681" s="11">
        <v>555</v>
      </c>
    </row>
    <row r="682" spans="1:41">
      <c r="C682" s="13" t="s">
        <v>26</v>
      </c>
      <c r="D682" s="13" t="str">
        <f>SUM(D675:D681)</f>
        <v>0</v>
      </c>
      <c r="E682" s="13" t="str">
        <f>SUM(E675:E681)</f>
        <v>0</v>
      </c>
      <c r="F682" s="13" t="str">
        <f>SUM(F675:F681)</f>
        <v>0</v>
      </c>
      <c r="G682" s="13" t="str">
        <f>SUM(G675:G681)</f>
        <v>0</v>
      </c>
      <c r="H682" s="13" t="str">
        <f>SUM(H675:H681)</f>
        <v>0</v>
      </c>
      <c r="I682" s="13" t="str">
        <f>SUM(I675:I681)</f>
        <v>0</v>
      </c>
      <c r="J682" s="13" t="str">
        <f>SUM(J675:J681)</f>
        <v>0</v>
      </c>
      <c r="K682" s="13" t="str">
        <f>SUM(K675:K681)</f>
        <v>0</v>
      </c>
      <c r="L682" s="13" t="str">
        <f>SUM(L675:L681)</f>
        <v>0</v>
      </c>
      <c r="M682" s="13" t="str">
        <f>SUM(M675:M681)</f>
        <v>0</v>
      </c>
      <c r="N682" s="13" t="str">
        <f>SUM(N675:N681)</f>
        <v>0</v>
      </c>
      <c r="O682" s="13" t="str">
        <f>SUM(O675:O681)</f>
        <v>0</v>
      </c>
      <c r="P682" s="13" t="str">
        <f>SUM(P675:P681)</f>
        <v>0</v>
      </c>
      <c r="Q682" s="13" t="str">
        <f>SUM(Q675:Q681)</f>
        <v>0</v>
      </c>
      <c r="R682" s="13" t="str">
        <f>SUM(R675:R681)</f>
        <v>0</v>
      </c>
      <c r="S682" s="13" t="str">
        <f>SUM(S675:S681)</f>
        <v>0</v>
      </c>
      <c r="T682" s="13" t="str">
        <f>SUM(T675:T681)</f>
        <v>0</v>
      </c>
      <c r="U682" s="13" t="str">
        <f>SUM(U675:U681)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U1"/>
    <mergeCell ref="D3:U3"/>
    <mergeCell ref="D4:F4"/>
    <mergeCell ref="G4:I4"/>
    <mergeCell ref="J4:L4"/>
    <mergeCell ref="M4:O4"/>
    <mergeCell ref="P4:R4"/>
    <mergeCell ref="S4:U4"/>
    <mergeCell ref="X11:Z11"/>
    <mergeCell ref="AA11:AC11"/>
    <mergeCell ref="AD11:AF11"/>
    <mergeCell ref="AG11:AI11"/>
    <mergeCell ref="AJ11:AL11"/>
    <mergeCell ref="AM11:AO11"/>
    <mergeCell ref="X41:Z41"/>
    <mergeCell ref="AA41:AC41"/>
    <mergeCell ref="X40:AC40"/>
    <mergeCell ref="AF40:AH40"/>
    <mergeCell ref="AF41:AH41"/>
    <mergeCell ref="AF42:AH42"/>
    <mergeCell ref="AE40:AE42"/>
    <mergeCell ref="AF43:AH43"/>
    <mergeCell ref="AF44:AH44"/>
    <mergeCell ref="AF45:AH45"/>
    <mergeCell ref="AE43:AE45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FARMER_GROUP_PER_VARIETY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2025-07-01T10:24:39+08:00</dcterms:created>
  <dcterms:modified xsi:type="dcterms:W3CDTF">2025-07-01T10:24:39+08:00</dcterms:modified>
  <dc:title>GAD_REPORT_TOTAL_FARMER_GROUP_2025-07-01</dc:title>
  <dc:description>Default spreadsheet export</dc:description>
  <dc:subject>Spreadsheet export</dc:subject>
  <cp:keywords>maatwebsite, excel, export</cp:keywords>
  <cp:category>Excel</cp:category>
</cp:coreProperties>
</file>